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3c3bc5f2d2393b/Documentos/"/>
    </mc:Choice>
  </mc:AlternateContent>
  <xr:revisionPtr revIDLastSave="6" documentId="13_ncr:1_{C61E8482-BF38-4268-8379-26267306BCD8}" xr6:coauthVersionLast="47" xr6:coauthVersionMax="47" xr10:uidLastSave="{AED71D90-3576-4AC4-8D0A-6E0A1EB02824}"/>
  <bookViews>
    <workbookView xWindow="28680" yWindow="-1830" windowWidth="29040" windowHeight="15720" activeTab="2" xr2:uid="{01FB4A31-7CA5-47A0-BEB7-D9C4FFC4A8BD}"/>
  </bookViews>
  <sheets>
    <sheet name="Datos_Sucios" sheetId="1" r:id="rId1"/>
    <sheet name="Hoja1" sheetId="4" r:id="rId2"/>
    <sheet name="Datos_Limpios" sheetId="2" r:id="rId3"/>
    <sheet name="Dashboard" sheetId="3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C3" i="3" l="1"/>
  <c r="C2" i="3"/>
</calcChain>
</file>

<file path=xl/sharedStrings.xml><?xml version="1.0" encoding="utf-8"?>
<sst xmlns="http://schemas.openxmlformats.org/spreadsheetml/2006/main" count="243" uniqueCount="91">
  <si>
    <t>ID_Transacción</t>
  </si>
  <si>
    <t>Fecha</t>
  </si>
  <si>
    <t>Cliente</t>
  </si>
  <si>
    <t>Ciudad</t>
  </si>
  <si>
    <t>Categoría_Producto</t>
  </si>
  <si>
    <t>Cantidad</t>
  </si>
  <si>
    <t>Precio_Unitario</t>
  </si>
  <si>
    <t>Costo_Total</t>
  </si>
  <si>
    <t>Carlos Pérez</t>
  </si>
  <si>
    <t>Quito</t>
  </si>
  <si>
    <t>Hardware</t>
  </si>
  <si>
    <t>120.50</t>
  </si>
  <si>
    <t>450.00</t>
  </si>
  <si>
    <t>03-18-26</t>
  </si>
  <si>
    <t>Ana López</t>
  </si>
  <si>
    <t>quito</t>
  </si>
  <si>
    <t>hardware</t>
  </si>
  <si>
    <t>María Gómez</t>
  </si>
  <si>
    <t>QUITO</t>
  </si>
  <si>
    <t>HARDware</t>
  </si>
  <si>
    <t>45.00</t>
  </si>
  <si>
    <t>380.00</t>
  </si>
  <si>
    <t>03-22-26</t>
  </si>
  <si>
    <t>Juan Torres</t>
  </si>
  <si>
    <t>Lucía Mora</t>
  </si>
  <si>
    <t>80.00</t>
  </si>
  <si>
    <t>5000.00</t>
  </si>
  <si>
    <t>03-25-26</t>
  </si>
  <si>
    <t>Pedro Ruiz</t>
  </si>
  <si>
    <t>Guayaquil</t>
  </si>
  <si>
    <t>Software</t>
  </si>
  <si>
    <t>150.00</t>
  </si>
  <si>
    <t>520.00</t>
  </si>
  <si>
    <t>Sofía Vega</t>
  </si>
  <si>
    <t>03-28-26</t>
  </si>
  <si>
    <t>Diego Paz</t>
  </si>
  <si>
    <t>410.00</t>
  </si>
  <si>
    <t>Elena Cruz</t>
  </si>
  <si>
    <t>35.50</t>
  </si>
  <si>
    <t>300.00</t>
  </si>
  <si>
    <t>Marco Silva</t>
  </si>
  <si>
    <t>Paula León</t>
  </si>
  <si>
    <t>55.00</t>
  </si>
  <si>
    <t>420.00</t>
  </si>
  <si>
    <t>Andrés Ríos</t>
  </si>
  <si>
    <t>560.00</t>
  </si>
  <si>
    <t>Verónica Sol</t>
  </si>
  <si>
    <t>200.00</t>
  </si>
  <si>
    <t>610.00</t>
  </si>
  <si>
    <t>Ricardo Mena</t>
  </si>
  <si>
    <t>Natalia Pozo</t>
  </si>
  <si>
    <t>500.00</t>
  </si>
  <si>
    <t>950.00</t>
  </si>
  <si>
    <t>Jorge Lima</t>
  </si>
  <si>
    <t>430.00</t>
  </si>
  <si>
    <t>Mónica Cedeño</t>
  </si>
  <si>
    <t>110.00</t>
  </si>
  <si>
    <t>590.00</t>
  </si>
  <si>
    <t>Luis Andrade</t>
  </si>
  <si>
    <t>Karla Flores</t>
  </si>
  <si>
    <t>260.00</t>
  </si>
  <si>
    <t>Oscar Bravo</t>
  </si>
  <si>
    <t>42.00</t>
  </si>
  <si>
    <t>600.00</t>
  </si>
  <si>
    <t>Daniela Núñez</t>
  </si>
  <si>
    <t>04-14-26</t>
  </si>
  <si>
    <t>Fernando Gil</t>
  </si>
  <si>
    <t>88.50</t>
  </si>
  <si>
    <t>Irene Castro</t>
  </si>
  <si>
    <t>04-16-26</t>
  </si>
  <si>
    <t>Pablo Ortiz</t>
  </si>
  <si>
    <t>30.00</t>
  </si>
  <si>
    <t>Silvia Reyes</t>
  </si>
  <si>
    <t>650.00</t>
  </si>
  <si>
    <t>04-18-26</t>
  </si>
  <si>
    <t>Raúl Ponce</t>
  </si>
  <si>
    <t>28.50</t>
  </si>
  <si>
    <t>510.00</t>
  </si>
  <si>
    <t>Teresa Molina</t>
  </si>
  <si>
    <t>04-20-26</t>
  </si>
  <si>
    <t>Iván Herrera</t>
  </si>
  <si>
    <t>65.00</t>
  </si>
  <si>
    <t>software</t>
  </si>
  <si>
    <t>dw</t>
  </si>
  <si>
    <t>Ingresos</t>
  </si>
  <si>
    <t>Ingreso total</t>
  </si>
  <si>
    <t>Margen_Bruto</t>
  </si>
  <si>
    <t>Porcentaje de margen</t>
  </si>
  <si>
    <t>Etiquetas de fila</t>
  </si>
  <si>
    <t>Total general</t>
  </si>
  <si>
    <t>Suma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</si>
</sst>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2" fontId="0" fillId="0" borderId="0" xfId="0" applyNumberFormat="1"/>
    <xf numFmtId="14" fontId="1" fillId="2" borderId="5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left style="medium">
          <color rgb="FFE6E6E6"/>
        </left>
        <top style="medium">
          <color rgb="FFE6E6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29</xdr:row>
      <xdr:rowOff>145677</xdr:rowOff>
    </xdr:from>
    <xdr:to>
      <xdr:col>7</xdr:col>
      <xdr:colOff>874059</xdr:colOff>
      <xdr:row>48</xdr:row>
      <xdr:rowOff>33617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FAE9AEB-9EA2-2AA6-EAFE-022722CF33B1}"/>
            </a:ext>
          </a:extLst>
        </xdr:cNvPr>
        <xdr:cNvSpPr/>
      </xdr:nvSpPr>
      <xdr:spPr>
        <a:xfrm>
          <a:off x="100853" y="9625853"/>
          <a:ext cx="9614647" cy="3294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US" sz="1100"/>
            <a:t>Pasos</a:t>
          </a:r>
        </a:p>
        <a:p>
          <a:pPr algn="l"/>
          <a:r>
            <a:rPr lang="es-US" sz="1100"/>
            <a:t>1. lo que se hizo fue dar formato de tabla para eso se uso ctrl + t</a:t>
          </a:r>
        </a:p>
        <a:p>
          <a:pPr algn="l"/>
          <a:r>
            <a:rPr lang="es-US" sz="1100"/>
            <a:t>2. para quitar duplicados se fue a  datos , en herrameintas de datos se le da  a la opcion de quitar duplicados seleccionando la columna de Id_Transaccion  se eliminan</a:t>
          </a:r>
        </a:p>
        <a:p>
          <a:pPr algn="l"/>
          <a:r>
            <a:rPr lang="es-US" sz="1100"/>
            <a:t>3. para la parte de estandarizar texto se uso  ctrl + l que es el atajo para buscar y reemplazar  y se reemplazaron estandarizando el texto</a:t>
          </a:r>
        </a:p>
        <a:p>
          <a:pPr algn="l"/>
          <a:r>
            <a:rPr lang="es-US" sz="1100"/>
            <a:t>4.  se cambio en inicio el tipo  de valor y para el tratamiento de nulos, primeo se fue a datos , herramientas de datos, rexto en columna, finalizar y luego  se saco el promedio con la formula de =PROMEDIO()  y se relleno</a:t>
          </a:r>
        </a:p>
        <a:p>
          <a:pPr algn="l"/>
          <a:r>
            <a:rPr lang="es-US" sz="1100"/>
            <a:t>5 para la fecha primero se uso ctlr+ l para buscar y reemplazar las - por / y luego s epuso el formato de fecha corta</a:t>
          </a:r>
        </a:p>
        <a:p>
          <a:pPr algn="l"/>
          <a:endParaRPr lang="es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hile" refreshedDate="46134.686703472224" createdVersion="8" refreshedVersion="8" minRefreshableVersion="3" recordCount="28" xr:uid="{22D19A17-79DC-4F7B-B5B3-6D2D33B96A01}">
  <cacheSource type="worksheet">
    <worksheetSource name="Tabla3"/>
  </cacheSource>
  <cacheFields count="9">
    <cacheField name="ID_Transacción" numFmtId="0">
      <sharedItems containsSemiMixedTypes="0" containsString="0" containsNumber="1" containsInteger="1" minValue="1" maxValue="28"/>
    </cacheField>
    <cacheField name="Fecha" numFmtId="14">
      <sharedItems containsDate="1" containsMixedTypes="1" minDate="2026-01-04T00:00:00" maxDate="2026-12-05T00:00:00"/>
    </cacheField>
    <cacheField name="Cliente" numFmtId="0">
      <sharedItems/>
    </cacheField>
    <cacheField name="Ciudad" numFmtId="0">
      <sharedItems count="2">
        <s v="Quito"/>
        <s v="Guayaquil"/>
      </sharedItems>
    </cacheField>
    <cacheField name="Categoría_Producto" numFmtId="0">
      <sharedItems/>
    </cacheField>
    <cacheField name="Cantidad" numFmtId="0">
      <sharedItems containsSemiMixedTypes="0" containsString="0" containsNumber="1" containsInteger="1" minValue="1" maxValue="20"/>
    </cacheField>
    <cacheField name="Precio_Unitario" numFmtId="2">
      <sharedItems containsSemiMixedTypes="0" containsString="0" containsNumber="1" minValue="25" maxValue="500"/>
    </cacheField>
    <cacheField name="Costo_Total" numFmtId="2">
      <sharedItems containsSemiMixedTypes="0" containsString="0" containsNumber="1" minValue="210" maxValue="5000"/>
    </cacheField>
    <cacheField name="Ingresos" numFmtId="0">
      <sharedItems containsSemiMixedTypes="0" containsString="0" containsNumber="1" minValue="8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d v="2026-03-15T00:00:00"/>
    <s v="Carlos Pérez"/>
    <x v="0"/>
    <s v="hardware"/>
    <n v="5"/>
    <n v="120.5"/>
    <n v="450"/>
    <n v="602.5"/>
  </r>
  <r>
    <n v="2"/>
    <d v="2026-03-18T00:00:00"/>
    <s v="Ana López"/>
    <x v="0"/>
    <s v="hardware"/>
    <n v="3"/>
    <n v="99.9"/>
    <n v="210"/>
    <n v="299.70000000000005"/>
  </r>
  <r>
    <n v="3"/>
    <d v="2026-03-21T00:00:00"/>
    <s v="María Gómez"/>
    <x v="0"/>
    <s v="hardware"/>
    <n v="10"/>
    <n v="45"/>
    <n v="380"/>
    <n v="450"/>
  </r>
  <r>
    <n v="4"/>
    <d v="2026-03-22T00:00:00"/>
    <s v="Juan Torres"/>
    <x v="0"/>
    <s v="hardware"/>
    <n v="2"/>
    <n v="250.75"/>
    <n v="600.5"/>
    <n v="501.5"/>
  </r>
  <r>
    <n v="5"/>
    <d v="2026-03-25T00:00:00"/>
    <s v="Lucía Mora"/>
    <x v="0"/>
    <s v="hardware"/>
    <n v="1"/>
    <n v="80"/>
    <n v="5000"/>
    <n v="80"/>
  </r>
  <r>
    <n v="6"/>
    <s v="dw"/>
    <s v="Pedro Ruiz"/>
    <x v="1"/>
    <s v="software"/>
    <n v="4"/>
    <n v="150"/>
    <n v="520"/>
    <n v="600"/>
  </r>
  <r>
    <n v="7"/>
    <d v="2026-03-27T00:00:00"/>
    <s v="Sofía Vega"/>
    <x v="0"/>
    <s v="hardware"/>
    <n v="6"/>
    <n v="60"/>
    <n v="691.25"/>
    <n v="360"/>
  </r>
  <r>
    <n v="8"/>
    <d v="2026-03-28T00:00:00"/>
    <s v="Diego Paz"/>
    <x v="0"/>
    <s v="hardware"/>
    <n v="8"/>
    <n v="100.96"/>
    <n v="410"/>
    <n v="807.68"/>
  </r>
  <r>
    <n v="9"/>
    <d v="2026-03-30T00:00:00"/>
    <s v="Elena Cruz"/>
    <x v="0"/>
    <s v="software"/>
    <n v="12"/>
    <n v="35.5"/>
    <n v="300"/>
    <n v="426"/>
  </r>
  <r>
    <n v="10"/>
    <d v="2026-01-04T00:00:00"/>
    <s v="Marco Silva"/>
    <x v="0"/>
    <s v="hardware"/>
    <n v="7"/>
    <n v="75.25"/>
    <n v="480.75"/>
    <n v="526.75"/>
  </r>
  <r>
    <n v="11"/>
    <d v="2026-04-02T00:00:00"/>
    <s v="Paula León"/>
    <x v="0"/>
    <s v="hardware"/>
    <n v="9"/>
    <n v="55"/>
    <n v="420"/>
    <n v="495"/>
  </r>
  <r>
    <n v="12"/>
    <d v="2026-03-04T00:00:00"/>
    <s v="Andrés Ríos"/>
    <x v="0"/>
    <s v="hardware"/>
    <n v="15"/>
    <n v="40"/>
    <n v="560"/>
    <n v="600"/>
  </r>
  <r>
    <n v="13"/>
    <d v="2026-04-05T00:00:00"/>
    <s v="Verónica Sol"/>
    <x v="0"/>
    <s v="software"/>
    <n v="3"/>
    <n v="200"/>
    <n v="610"/>
    <n v="600"/>
  </r>
  <r>
    <n v="14"/>
    <d v="2026-06-04T00:00:00"/>
    <s v="Ricardo Mena"/>
    <x v="0"/>
    <s v="hardware"/>
    <n v="11"/>
    <n v="48.5"/>
    <n v="691.25"/>
    <n v="533.5"/>
  </r>
  <r>
    <n v="15"/>
    <d v="2026-04-07T00:00:00"/>
    <s v="Natalia Pozo"/>
    <x v="0"/>
    <s v="hardware"/>
    <n v="2"/>
    <n v="500"/>
    <n v="950"/>
    <n v="1000"/>
  </r>
  <r>
    <n v="16"/>
    <d v="2026-08-04T00:00:00"/>
    <s v="Jorge Lima"/>
    <x v="0"/>
    <s v="hardware"/>
    <n v="20"/>
    <n v="25"/>
    <n v="430"/>
    <n v="500"/>
  </r>
  <r>
    <n v="17"/>
    <d v="2026-04-09T00:00:00"/>
    <s v="Mónica Cedeño"/>
    <x v="0"/>
    <s v="software"/>
    <n v="6"/>
    <n v="110"/>
    <n v="590"/>
    <n v="660"/>
  </r>
  <r>
    <n v="18"/>
    <d v="2026-10-04T00:00:00"/>
    <s v="Luis Andrade"/>
    <x v="0"/>
    <s v="hardware"/>
    <n v="4"/>
    <n v="130.75"/>
    <n v="510"/>
    <n v="523"/>
  </r>
  <r>
    <n v="19"/>
    <d v="2026-04-11T00:00:00"/>
    <s v="Karla Flores"/>
    <x v="0"/>
    <s v="hardware"/>
    <n v="5"/>
    <n v="100.96"/>
    <n v="260"/>
    <n v="504.79999999999995"/>
  </r>
  <r>
    <n v="20"/>
    <d v="2026-12-04T00:00:00"/>
    <s v="Oscar Bravo"/>
    <x v="0"/>
    <s v="hardware"/>
    <n v="14"/>
    <n v="42"/>
    <n v="600"/>
    <n v="588"/>
  </r>
  <r>
    <n v="21"/>
    <d v="2026-04-13T00:00:00"/>
    <s v="Daniela Núñez"/>
    <x v="0"/>
    <s v="software"/>
    <n v="9"/>
    <n v="95"/>
    <n v="691.25"/>
    <n v="855"/>
  </r>
  <r>
    <n v="22"/>
    <d v="2026-04-14T00:00:00"/>
    <s v="Fernando Gil"/>
    <x v="0"/>
    <s v="hardware"/>
    <n v="7"/>
    <n v="88.5"/>
    <n v="500"/>
    <n v="619.5"/>
  </r>
  <r>
    <n v="23"/>
    <d v="2026-04-15T00:00:00"/>
    <s v="Irene Castro"/>
    <x v="0"/>
    <s v="hardware"/>
    <n v="13"/>
    <n v="39.9"/>
    <n v="480"/>
    <n v="518.69999999999993"/>
  </r>
  <r>
    <n v="24"/>
    <d v="2026-04-16T00:00:00"/>
    <s v="Pablo Ortiz"/>
    <x v="0"/>
    <s v="hardware"/>
    <n v="16"/>
    <n v="30"/>
    <n v="520"/>
    <n v="480"/>
  </r>
  <r>
    <n v="25"/>
    <d v="2026-04-17T00:00:00"/>
    <s v="Silvia Reyes"/>
    <x v="0"/>
    <s v="software"/>
    <n v="10"/>
    <n v="70"/>
    <n v="650"/>
    <n v="700"/>
  </r>
  <r>
    <n v="26"/>
    <d v="2026-04-18T00:00:00"/>
    <s v="Raúl Ponce"/>
    <x v="0"/>
    <s v="hardware"/>
    <n v="18"/>
    <n v="28.5"/>
    <n v="510"/>
    <n v="513"/>
  </r>
  <r>
    <n v="27"/>
    <d v="2026-04-19T00:00:00"/>
    <s v="Teresa Molina"/>
    <x v="0"/>
    <s v="hardware"/>
    <n v="6"/>
    <n v="140"/>
    <n v="780"/>
    <n v="840"/>
  </r>
  <r>
    <n v="28"/>
    <d v="2026-04-20T00:00:00"/>
    <s v="Iván Herrera"/>
    <x v="0"/>
    <s v="hardware"/>
    <n v="9"/>
    <n v="65"/>
    <n v="560"/>
    <n v="5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1CB85-1C10-4475-9DC8-56B8F106E907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2" showAll="0"/>
    <pivotField numFmtId="2"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 de Ingreso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491D6-F857-4526-A357-92D684569139}" name="Tabla3" displayName="Tabla3" ref="A1:I29" totalsRowShown="0" headerRowDxfId="12" dataDxfId="10" headerRowBorderDxfId="11" tableBorderDxfId="9">
  <autoFilter ref="A1:I29" xr:uid="{420491D6-F857-4526-A357-92D684569139}"/>
  <tableColumns count="9">
    <tableColumn id="1" xr3:uid="{56381B2D-6AB3-40D8-93F8-447FB89ABE8B}" name="ID_Transacción" dataDxfId="8"/>
    <tableColumn id="2" xr3:uid="{291094B5-0761-4519-9821-FF69A9A7E488}" name="Fecha" dataDxfId="7"/>
    <tableColumn id="3" xr3:uid="{EE527287-AFC5-457E-81F6-0E9ED91DC97B}" name="Cliente" dataDxfId="6"/>
    <tableColumn id="4" xr3:uid="{DAC46EEB-2A7D-4D95-B2F5-5854B96F5D38}" name="Ciudad" dataDxfId="5"/>
    <tableColumn id="5" xr3:uid="{F1FB2311-C429-41CD-A215-B2F105F72646}" name="Categoría_Producto" dataDxfId="4"/>
    <tableColumn id="6" xr3:uid="{171734D0-22FC-458A-AE92-B7ECCD592B3C}" name="Cantidad" dataDxfId="3"/>
    <tableColumn id="7" xr3:uid="{B85BC489-5735-4743-903D-EBB3F701BFF7}" name="Precio_Unitario" dataDxfId="2"/>
    <tableColumn id="8" xr3:uid="{FBBA7A53-5862-40F9-89C3-E6564197365B}" name="Costo_Total" dataDxfId="1"/>
    <tableColumn id="9" xr3:uid="{3D3634B2-38E2-489E-B495-5D6D1BD66473}" name="Ingresos" dataDxfId="0">
      <calculatedColumnFormula>F2*G2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7E76-733B-47A5-98D0-FD223B187B98}">
  <dimension ref="A1:H31"/>
  <sheetViews>
    <sheetView topLeftCell="A4" workbookViewId="0">
      <selection sqref="A1:XFD1048576"/>
    </sheetView>
  </sheetViews>
  <sheetFormatPr baseColWidth="10" defaultRowHeight="14.4" x14ac:dyDescent="0.3"/>
  <cols>
    <col min="1" max="1" width="20.5546875" customWidth="1"/>
    <col min="2" max="2" width="10.33203125" bestFit="1" customWidth="1"/>
    <col min="4" max="4" width="9.6640625" bestFit="1" customWidth="1"/>
    <col min="5" max="5" width="10.88671875" bestFit="1" customWidth="1"/>
    <col min="6" max="6" width="9.44140625" bestFit="1" customWidth="1"/>
    <col min="7" max="7" width="16.6640625" customWidth="1"/>
    <col min="8" max="8" width="13.109375" customWidth="1"/>
  </cols>
  <sheetData>
    <row r="1" spans="1:8" ht="34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200000000000003" thickBot="1" x14ac:dyDescent="0.35">
      <c r="A2" s="2">
        <v>1</v>
      </c>
      <c r="B2" s="3">
        <v>46096</v>
      </c>
      <c r="C2" s="2" t="s">
        <v>8</v>
      </c>
      <c r="D2" s="2" t="s">
        <v>9</v>
      </c>
      <c r="E2" s="2" t="s">
        <v>10</v>
      </c>
      <c r="F2" s="2">
        <v>5</v>
      </c>
      <c r="G2" s="2" t="s">
        <v>11</v>
      </c>
      <c r="H2" s="2" t="s">
        <v>12</v>
      </c>
    </row>
    <row r="3" spans="1:8" ht="17.399999999999999" thickBot="1" x14ac:dyDescent="0.3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</v>
      </c>
      <c r="G3" s="2">
        <v>99.9</v>
      </c>
      <c r="H3" s="2">
        <v>210</v>
      </c>
    </row>
    <row r="4" spans="1:8" ht="34.200000000000003" thickBot="1" x14ac:dyDescent="0.35">
      <c r="A4" s="2">
        <v>3</v>
      </c>
      <c r="B4" s="3">
        <v>46102</v>
      </c>
      <c r="C4" s="2" t="s">
        <v>17</v>
      </c>
      <c r="D4" s="2" t="s">
        <v>18</v>
      </c>
      <c r="E4" s="2" t="s">
        <v>19</v>
      </c>
      <c r="F4" s="2">
        <v>10</v>
      </c>
      <c r="G4" s="2" t="s">
        <v>20</v>
      </c>
      <c r="H4" s="2" t="s">
        <v>21</v>
      </c>
    </row>
    <row r="5" spans="1:8" ht="17.399999999999999" thickBot="1" x14ac:dyDescent="0.35">
      <c r="A5" s="2">
        <v>4</v>
      </c>
      <c r="B5" s="2" t="s">
        <v>22</v>
      </c>
      <c r="C5" s="2" t="s">
        <v>23</v>
      </c>
      <c r="D5" s="2" t="s">
        <v>9</v>
      </c>
      <c r="E5" s="2" t="s">
        <v>10</v>
      </c>
      <c r="F5" s="2">
        <v>2</v>
      </c>
      <c r="G5" s="2">
        <v>250.75</v>
      </c>
      <c r="H5" s="2">
        <v>600.5</v>
      </c>
    </row>
    <row r="6" spans="1:8" ht="17.399999999999999" thickBot="1" x14ac:dyDescent="0.35">
      <c r="A6" s="2">
        <v>5</v>
      </c>
      <c r="B6" s="3">
        <v>46106</v>
      </c>
      <c r="C6" s="2" t="s">
        <v>24</v>
      </c>
      <c r="D6" s="2" t="s">
        <v>9</v>
      </c>
      <c r="E6" s="2" t="s">
        <v>16</v>
      </c>
      <c r="F6" s="2">
        <v>1</v>
      </c>
      <c r="G6" s="2" t="s">
        <v>25</v>
      </c>
      <c r="H6" s="2" t="s">
        <v>26</v>
      </c>
    </row>
    <row r="7" spans="1:8" ht="17.399999999999999" thickBot="1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>
        <v>4</v>
      </c>
      <c r="G7" s="2" t="s">
        <v>31</v>
      </c>
      <c r="H7" s="2" t="s">
        <v>32</v>
      </c>
    </row>
    <row r="8" spans="1:8" ht="17.399999999999999" thickBot="1" x14ac:dyDescent="0.35">
      <c r="A8" s="2">
        <v>7</v>
      </c>
      <c r="B8" s="3">
        <v>46108</v>
      </c>
      <c r="C8" s="2" t="s">
        <v>33</v>
      </c>
      <c r="D8" s="2" t="s">
        <v>15</v>
      </c>
      <c r="E8" s="2" t="s">
        <v>10</v>
      </c>
      <c r="F8" s="2">
        <v>6</v>
      </c>
      <c r="G8" s="2">
        <v>60</v>
      </c>
      <c r="H8" s="2"/>
    </row>
    <row r="9" spans="1:8" ht="17.399999999999999" thickBot="1" x14ac:dyDescent="0.35">
      <c r="A9" s="2">
        <v>8</v>
      </c>
      <c r="B9" s="2" t="s">
        <v>34</v>
      </c>
      <c r="C9" s="2" t="s">
        <v>35</v>
      </c>
      <c r="D9" s="2" t="s">
        <v>18</v>
      </c>
      <c r="E9" s="2" t="s">
        <v>19</v>
      </c>
      <c r="F9" s="2">
        <v>8</v>
      </c>
      <c r="G9" s="2"/>
      <c r="H9" s="2" t="s">
        <v>36</v>
      </c>
    </row>
    <row r="10" spans="1:8" ht="17.399999999999999" thickBot="1" x14ac:dyDescent="0.35">
      <c r="A10" s="2">
        <v>9</v>
      </c>
      <c r="B10" s="3">
        <v>46111</v>
      </c>
      <c r="C10" s="2" t="s">
        <v>37</v>
      </c>
      <c r="D10" s="2" t="s">
        <v>9</v>
      </c>
      <c r="E10" s="2" t="s">
        <v>30</v>
      </c>
      <c r="F10" s="2">
        <v>12</v>
      </c>
      <c r="G10" s="2" t="s">
        <v>38</v>
      </c>
      <c r="H10" s="2" t="s">
        <v>39</v>
      </c>
    </row>
    <row r="11" spans="1:8" ht="17.399999999999999" thickBot="1" x14ac:dyDescent="0.35">
      <c r="A11" s="2">
        <v>10</v>
      </c>
      <c r="B11" s="3">
        <v>46026</v>
      </c>
      <c r="C11" s="2" t="s">
        <v>40</v>
      </c>
      <c r="D11" s="2" t="s">
        <v>9</v>
      </c>
      <c r="E11" s="2" t="s">
        <v>16</v>
      </c>
      <c r="F11" s="2">
        <v>7</v>
      </c>
      <c r="G11" s="2">
        <v>75.25</v>
      </c>
      <c r="H11" s="2">
        <v>480.75</v>
      </c>
    </row>
    <row r="12" spans="1:8" ht="17.399999999999999" thickBot="1" x14ac:dyDescent="0.35">
      <c r="A12" s="2">
        <v>11</v>
      </c>
      <c r="B12" s="3">
        <v>46114</v>
      </c>
      <c r="C12" s="2" t="s">
        <v>41</v>
      </c>
      <c r="D12" s="2" t="s">
        <v>15</v>
      </c>
      <c r="E12" s="2" t="s">
        <v>19</v>
      </c>
      <c r="F12" s="2">
        <v>9</v>
      </c>
      <c r="G12" s="2" t="s">
        <v>42</v>
      </c>
      <c r="H12" s="2" t="s">
        <v>43</v>
      </c>
    </row>
    <row r="13" spans="1:8" ht="17.399999999999999" thickBot="1" x14ac:dyDescent="0.35">
      <c r="A13" s="2">
        <v>12</v>
      </c>
      <c r="B13" s="3">
        <v>46085</v>
      </c>
      <c r="C13" s="2" t="s">
        <v>44</v>
      </c>
      <c r="D13" s="2" t="s">
        <v>18</v>
      </c>
      <c r="E13" s="2" t="s">
        <v>10</v>
      </c>
      <c r="F13" s="2">
        <v>15</v>
      </c>
      <c r="G13" s="2">
        <v>40</v>
      </c>
      <c r="H13" s="2" t="s">
        <v>45</v>
      </c>
    </row>
    <row r="14" spans="1:8" ht="34.200000000000003" thickBot="1" x14ac:dyDescent="0.35">
      <c r="A14" s="2">
        <v>13</v>
      </c>
      <c r="B14" s="3">
        <v>46117</v>
      </c>
      <c r="C14" s="2" t="s">
        <v>46</v>
      </c>
      <c r="D14" s="2" t="s">
        <v>9</v>
      </c>
      <c r="E14" s="2" t="s">
        <v>30</v>
      </c>
      <c r="F14" s="2">
        <v>3</v>
      </c>
      <c r="G14" s="2" t="s">
        <v>47</v>
      </c>
      <c r="H14" s="2" t="s">
        <v>48</v>
      </c>
    </row>
    <row r="15" spans="1:8" ht="34.200000000000003" thickBot="1" x14ac:dyDescent="0.35">
      <c r="A15" s="2">
        <v>14</v>
      </c>
      <c r="B15" s="3">
        <v>46177</v>
      </c>
      <c r="C15" s="2" t="s">
        <v>49</v>
      </c>
      <c r="D15" s="2" t="s">
        <v>9</v>
      </c>
      <c r="E15" s="2" t="s">
        <v>16</v>
      </c>
      <c r="F15" s="2">
        <v>11</v>
      </c>
      <c r="G15" s="2">
        <v>48.5</v>
      </c>
      <c r="H15" s="2"/>
    </row>
    <row r="16" spans="1:8" ht="34.200000000000003" thickBot="1" x14ac:dyDescent="0.35">
      <c r="A16" s="2">
        <v>15</v>
      </c>
      <c r="B16" s="3">
        <v>46119</v>
      </c>
      <c r="C16" s="2" t="s">
        <v>50</v>
      </c>
      <c r="D16" s="2" t="s">
        <v>15</v>
      </c>
      <c r="E16" s="2" t="s">
        <v>19</v>
      </c>
      <c r="F16" s="2">
        <v>2</v>
      </c>
      <c r="G16" s="2" t="s">
        <v>51</v>
      </c>
      <c r="H16" s="2" t="s">
        <v>52</v>
      </c>
    </row>
    <row r="17" spans="1:8" ht="17.399999999999999" thickBot="1" x14ac:dyDescent="0.35">
      <c r="A17" s="2">
        <v>16</v>
      </c>
      <c r="B17" s="3">
        <v>46238</v>
      </c>
      <c r="C17" s="2" t="s">
        <v>53</v>
      </c>
      <c r="D17" s="2" t="s">
        <v>18</v>
      </c>
      <c r="E17" s="2" t="s">
        <v>10</v>
      </c>
      <c r="F17" s="2">
        <v>20</v>
      </c>
      <c r="G17" s="2">
        <v>25</v>
      </c>
      <c r="H17" s="2" t="s">
        <v>54</v>
      </c>
    </row>
    <row r="18" spans="1:8" ht="34.200000000000003" thickBot="1" x14ac:dyDescent="0.35">
      <c r="A18" s="2">
        <v>17</v>
      </c>
      <c r="B18" s="3">
        <v>46121</v>
      </c>
      <c r="C18" s="2" t="s">
        <v>55</v>
      </c>
      <c r="D18" s="2" t="s">
        <v>9</v>
      </c>
      <c r="E18" s="2" t="s">
        <v>30</v>
      </c>
      <c r="F18" s="2">
        <v>6</v>
      </c>
      <c r="G18" s="2" t="s">
        <v>56</v>
      </c>
      <c r="H18" s="2" t="s">
        <v>57</v>
      </c>
    </row>
    <row r="19" spans="1:8" ht="34.200000000000003" thickBot="1" x14ac:dyDescent="0.35">
      <c r="A19" s="2">
        <v>18</v>
      </c>
      <c r="B19" s="3">
        <v>46299</v>
      </c>
      <c r="C19" s="2" t="s">
        <v>58</v>
      </c>
      <c r="D19" s="2" t="s">
        <v>9</v>
      </c>
      <c r="E19" s="2" t="s">
        <v>16</v>
      </c>
      <c r="F19" s="2">
        <v>4</v>
      </c>
      <c r="G19" s="2">
        <v>130.75</v>
      </c>
      <c r="H19" s="2">
        <v>510</v>
      </c>
    </row>
    <row r="20" spans="1:8" ht="17.399999999999999" thickBot="1" x14ac:dyDescent="0.35">
      <c r="A20" s="2">
        <v>19</v>
      </c>
      <c r="B20" s="3">
        <v>46123</v>
      </c>
      <c r="C20" s="2" t="s">
        <v>59</v>
      </c>
      <c r="D20" s="2" t="s">
        <v>15</v>
      </c>
      <c r="E20" s="2" t="s">
        <v>19</v>
      </c>
      <c r="F20" s="2">
        <v>5</v>
      </c>
      <c r="G20" s="2"/>
      <c r="H20" s="2" t="s">
        <v>60</v>
      </c>
    </row>
    <row r="21" spans="1:8" ht="17.399999999999999" thickBot="1" x14ac:dyDescent="0.35">
      <c r="A21" s="2">
        <v>20</v>
      </c>
      <c r="B21" s="3">
        <v>46360</v>
      </c>
      <c r="C21" s="2" t="s">
        <v>61</v>
      </c>
      <c r="D21" s="2" t="s">
        <v>18</v>
      </c>
      <c r="E21" s="2" t="s">
        <v>10</v>
      </c>
      <c r="F21" s="2">
        <v>14</v>
      </c>
      <c r="G21" s="2" t="s">
        <v>62</v>
      </c>
      <c r="H21" s="2" t="s">
        <v>63</v>
      </c>
    </row>
    <row r="22" spans="1:8" ht="34.200000000000003" thickBot="1" x14ac:dyDescent="0.35">
      <c r="A22" s="2">
        <v>21</v>
      </c>
      <c r="B22" s="3">
        <v>46125</v>
      </c>
      <c r="C22" s="2" t="s">
        <v>64</v>
      </c>
      <c r="D22" s="2" t="s">
        <v>9</v>
      </c>
      <c r="E22" s="2" t="s">
        <v>30</v>
      </c>
      <c r="F22" s="2">
        <v>9</v>
      </c>
      <c r="G22" s="2">
        <v>95</v>
      </c>
      <c r="H22" s="2"/>
    </row>
    <row r="23" spans="1:8" ht="34.200000000000003" thickBot="1" x14ac:dyDescent="0.35">
      <c r="A23" s="2">
        <v>22</v>
      </c>
      <c r="B23" s="2" t="s">
        <v>65</v>
      </c>
      <c r="C23" s="2" t="s">
        <v>66</v>
      </c>
      <c r="D23" s="2" t="s">
        <v>15</v>
      </c>
      <c r="E23" s="2" t="s">
        <v>16</v>
      </c>
      <c r="F23" s="2">
        <v>7</v>
      </c>
      <c r="G23" s="2" t="s">
        <v>67</v>
      </c>
      <c r="H23" s="2" t="s">
        <v>51</v>
      </c>
    </row>
    <row r="24" spans="1:8" ht="17.399999999999999" thickBot="1" x14ac:dyDescent="0.35">
      <c r="A24" s="2">
        <v>23</v>
      </c>
      <c r="B24" s="3">
        <v>46127</v>
      </c>
      <c r="C24" s="2" t="s">
        <v>68</v>
      </c>
      <c r="D24" s="2" t="s">
        <v>18</v>
      </c>
      <c r="E24" s="2" t="s">
        <v>19</v>
      </c>
      <c r="F24" s="2">
        <v>13</v>
      </c>
      <c r="G24" s="2">
        <v>39.9</v>
      </c>
      <c r="H24" s="2">
        <v>480</v>
      </c>
    </row>
    <row r="25" spans="1:8" ht="17.399999999999999" thickBot="1" x14ac:dyDescent="0.35">
      <c r="A25" s="2">
        <v>24</v>
      </c>
      <c r="B25" s="2" t="s">
        <v>69</v>
      </c>
      <c r="C25" s="2" t="s">
        <v>70</v>
      </c>
      <c r="D25" s="2" t="s">
        <v>9</v>
      </c>
      <c r="E25" s="2" t="s">
        <v>10</v>
      </c>
      <c r="F25" s="2">
        <v>16</v>
      </c>
      <c r="G25" s="2" t="s">
        <v>71</v>
      </c>
      <c r="H25" s="2" t="s">
        <v>32</v>
      </c>
    </row>
    <row r="26" spans="1:8" ht="17.399999999999999" thickBot="1" x14ac:dyDescent="0.35">
      <c r="A26" s="2">
        <v>25</v>
      </c>
      <c r="B26" s="3">
        <v>46129</v>
      </c>
      <c r="C26" s="2" t="s">
        <v>72</v>
      </c>
      <c r="D26" s="2" t="s">
        <v>15</v>
      </c>
      <c r="E26" s="2" t="s">
        <v>30</v>
      </c>
      <c r="F26" s="2">
        <v>10</v>
      </c>
      <c r="G26" s="2">
        <v>70</v>
      </c>
      <c r="H26" s="2" t="s">
        <v>73</v>
      </c>
    </row>
    <row r="27" spans="1:8" ht="17.399999999999999" thickBot="1" x14ac:dyDescent="0.35">
      <c r="A27" s="2">
        <v>26</v>
      </c>
      <c r="B27" s="2" t="s">
        <v>74</v>
      </c>
      <c r="C27" s="2" t="s">
        <v>75</v>
      </c>
      <c r="D27" s="2" t="s">
        <v>18</v>
      </c>
      <c r="E27" s="2" t="s">
        <v>16</v>
      </c>
      <c r="F27" s="2">
        <v>18</v>
      </c>
      <c r="G27" s="2" t="s">
        <v>76</v>
      </c>
      <c r="H27" s="2" t="s">
        <v>77</v>
      </c>
    </row>
    <row r="28" spans="1:8" ht="34.200000000000003" thickBot="1" x14ac:dyDescent="0.35">
      <c r="A28" s="2">
        <v>27</v>
      </c>
      <c r="B28" s="3">
        <v>46131</v>
      </c>
      <c r="C28" s="2" t="s">
        <v>78</v>
      </c>
      <c r="D28" s="2" t="s">
        <v>9</v>
      </c>
      <c r="E28" s="2" t="s">
        <v>19</v>
      </c>
      <c r="F28" s="2">
        <v>6</v>
      </c>
      <c r="G28" s="2">
        <v>140</v>
      </c>
      <c r="H28" s="2">
        <v>780</v>
      </c>
    </row>
    <row r="29" spans="1:8" ht="34.200000000000003" thickBot="1" x14ac:dyDescent="0.35">
      <c r="A29" s="2">
        <v>28</v>
      </c>
      <c r="B29" s="2" t="s">
        <v>79</v>
      </c>
      <c r="C29" s="2" t="s">
        <v>80</v>
      </c>
      <c r="D29" s="2" t="s">
        <v>15</v>
      </c>
      <c r="E29" s="2" t="s">
        <v>10</v>
      </c>
      <c r="F29" s="2">
        <v>9</v>
      </c>
      <c r="G29" s="2" t="s">
        <v>81</v>
      </c>
      <c r="H29" s="2" t="s">
        <v>45</v>
      </c>
    </row>
    <row r="30" spans="1:8" ht="17.399999999999999" thickBot="1" x14ac:dyDescent="0.35">
      <c r="A30" s="2">
        <v>5</v>
      </c>
      <c r="B30" s="3">
        <v>46106</v>
      </c>
      <c r="C30" s="2" t="s">
        <v>24</v>
      </c>
      <c r="D30" s="2" t="s">
        <v>9</v>
      </c>
      <c r="E30" s="2" t="s">
        <v>16</v>
      </c>
      <c r="F30" s="2">
        <v>1</v>
      </c>
      <c r="G30" s="2" t="s">
        <v>25</v>
      </c>
      <c r="H30" s="2" t="s">
        <v>26</v>
      </c>
    </row>
    <row r="31" spans="1:8" ht="17.399999999999999" thickBot="1" x14ac:dyDescent="0.35">
      <c r="A31" s="2">
        <v>12</v>
      </c>
      <c r="B31" s="3">
        <v>46085</v>
      </c>
      <c r="C31" s="2" t="s">
        <v>44</v>
      </c>
      <c r="D31" s="2" t="s">
        <v>18</v>
      </c>
      <c r="E31" s="4" t="s">
        <v>10</v>
      </c>
      <c r="F31" s="4">
        <v>2</v>
      </c>
      <c r="G31">
        <v>100</v>
      </c>
      <c r="H3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4C87-4493-4FAE-B293-13C25E0C7CA6}">
  <dimension ref="A3:B6"/>
  <sheetViews>
    <sheetView workbookViewId="0">
      <selection activeCell="A3" sqref="A3"/>
    </sheetView>
  </sheetViews>
  <sheetFormatPr baseColWidth="10" defaultRowHeight="14.4" x14ac:dyDescent="0.3"/>
  <cols>
    <col min="1" max="1" width="17.33203125" bestFit="1" customWidth="1"/>
    <col min="2" max="2" width="16.5546875" bestFit="1" customWidth="1"/>
  </cols>
  <sheetData>
    <row r="3" spans="1:2" x14ac:dyDescent="0.3">
      <c r="A3" s="15" t="s">
        <v>88</v>
      </c>
      <c r="B3" t="s">
        <v>90</v>
      </c>
    </row>
    <row r="4" spans="1:2" x14ac:dyDescent="0.3">
      <c r="A4" s="16" t="s">
        <v>29</v>
      </c>
      <c r="B4" s="17">
        <v>600</v>
      </c>
    </row>
    <row r="5" spans="1:2" x14ac:dyDescent="0.3">
      <c r="A5" s="16" t="s">
        <v>9</v>
      </c>
      <c r="B5" s="17">
        <v>15169.63</v>
      </c>
    </row>
    <row r="6" spans="1:2" x14ac:dyDescent="0.3">
      <c r="A6" s="16" t="s">
        <v>89</v>
      </c>
      <c r="B6" s="17">
        <v>15769.63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C30D-6064-4655-9932-DF225A2A1E48}">
  <dimension ref="A1:I29"/>
  <sheetViews>
    <sheetView tabSelected="1" zoomScale="85" zoomScaleNormal="85" workbookViewId="0">
      <selection activeCell="B4" sqref="B4"/>
    </sheetView>
  </sheetViews>
  <sheetFormatPr baseColWidth="10" defaultRowHeight="14.4" x14ac:dyDescent="0.3"/>
  <cols>
    <col min="1" max="1" width="19.88671875" bestFit="1" customWidth="1"/>
    <col min="2" max="2" width="11.5546875" style="12" bestFit="1" customWidth="1"/>
    <col min="3" max="3" width="12.77734375" bestFit="1" customWidth="1"/>
    <col min="4" max="4" width="12.33203125" bestFit="1" customWidth="1"/>
    <col min="5" max="5" width="24.33203125" bestFit="1" customWidth="1"/>
    <col min="6" max="6" width="14.109375" bestFit="1" customWidth="1"/>
    <col min="7" max="7" width="20.21875" style="10" bestFit="1" customWidth="1"/>
    <col min="8" max="8" width="16.77734375" style="10" bestFit="1" customWidth="1"/>
    <col min="9" max="9" width="14" bestFit="1" customWidth="1"/>
  </cols>
  <sheetData>
    <row r="1" spans="1:9" ht="17.399999999999999" thickBot="1" x14ac:dyDescent="0.35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84</v>
      </c>
    </row>
    <row r="2" spans="1:9" ht="17.399999999999999" thickBot="1" x14ac:dyDescent="0.35">
      <c r="A2" s="5">
        <v>1</v>
      </c>
      <c r="B2" s="3">
        <v>46096</v>
      </c>
      <c r="C2" s="2" t="s">
        <v>8</v>
      </c>
      <c r="D2" s="2" t="s">
        <v>9</v>
      </c>
      <c r="E2" s="2" t="s">
        <v>16</v>
      </c>
      <c r="F2" s="2">
        <v>5</v>
      </c>
      <c r="G2" s="9">
        <v>120.5</v>
      </c>
      <c r="H2" s="9">
        <v>450</v>
      </c>
      <c r="I2" s="13">
        <f t="shared" ref="I2:I29" si="0">F2*G2</f>
        <v>602.5</v>
      </c>
    </row>
    <row r="3" spans="1:9" ht="17.399999999999999" thickBot="1" x14ac:dyDescent="0.35">
      <c r="A3" s="5">
        <v>2</v>
      </c>
      <c r="B3" s="3">
        <v>46099</v>
      </c>
      <c r="C3" s="2" t="s">
        <v>14</v>
      </c>
      <c r="D3" s="2" t="s">
        <v>9</v>
      </c>
      <c r="E3" s="2" t="s">
        <v>16</v>
      </c>
      <c r="F3" s="2">
        <v>3</v>
      </c>
      <c r="G3" s="9">
        <v>99.9</v>
      </c>
      <c r="H3" s="9">
        <v>210</v>
      </c>
      <c r="I3" s="13">
        <f t="shared" si="0"/>
        <v>299.70000000000005</v>
      </c>
    </row>
    <row r="4" spans="1:9" ht="17.399999999999999" thickBot="1" x14ac:dyDescent="0.35">
      <c r="A4" s="5">
        <v>3</v>
      </c>
      <c r="B4" s="3">
        <v>46102</v>
      </c>
      <c r="C4" s="2" t="s">
        <v>17</v>
      </c>
      <c r="D4" s="2" t="s">
        <v>9</v>
      </c>
      <c r="E4" s="2" t="s">
        <v>16</v>
      </c>
      <c r="F4" s="2">
        <v>10</v>
      </c>
      <c r="G4" s="9">
        <v>45</v>
      </c>
      <c r="H4" s="9">
        <v>380</v>
      </c>
      <c r="I4" s="13">
        <f t="shared" si="0"/>
        <v>450</v>
      </c>
    </row>
    <row r="5" spans="1:9" ht="17.399999999999999" thickBot="1" x14ac:dyDescent="0.35">
      <c r="A5" s="5">
        <v>4</v>
      </c>
      <c r="B5" s="3">
        <v>46103</v>
      </c>
      <c r="C5" s="2" t="s">
        <v>23</v>
      </c>
      <c r="D5" s="2" t="s">
        <v>9</v>
      </c>
      <c r="E5" s="2" t="s">
        <v>16</v>
      </c>
      <c r="F5" s="2">
        <v>2</v>
      </c>
      <c r="G5" s="9">
        <v>250.75</v>
      </c>
      <c r="H5" s="9">
        <v>600.5</v>
      </c>
      <c r="I5" s="13">
        <f t="shared" si="0"/>
        <v>501.5</v>
      </c>
    </row>
    <row r="6" spans="1:9" ht="17.399999999999999" thickBot="1" x14ac:dyDescent="0.35">
      <c r="A6" s="5">
        <v>5</v>
      </c>
      <c r="B6" s="3">
        <v>46106</v>
      </c>
      <c r="C6" s="2" t="s">
        <v>24</v>
      </c>
      <c r="D6" s="2" t="s">
        <v>9</v>
      </c>
      <c r="E6" s="2" t="s">
        <v>16</v>
      </c>
      <c r="F6" s="2">
        <v>1</v>
      </c>
      <c r="G6" s="9">
        <v>80</v>
      </c>
      <c r="H6" s="9">
        <v>5000</v>
      </c>
      <c r="I6" s="13">
        <f t="shared" si="0"/>
        <v>80</v>
      </c>
    </row>
    <row r="7" spans="1:9" ht="17.399999999999999" thickBot="1" x14ac:dyDescent="0.35">
      <c r="A7" s="5">
        <v>6</v>
      </c>
      <c r="B7" s="3" t="s">
        <v>83</v>
      </c>
      <c r="C7" s="2" t="s">
        <v>28</v>
      </c>
      <c r="D7" s="2" t="s">
        <v>29</v>
      </c>
      <c r="E7" s="2" t="s">
        <v>82</v>
      </c>
      <c r="F7" s="2">
        <v>4</v>
      </c>
      <c r="G7" s="9">
        <v>150</v>
      </c>
      <c r="H7" s="9">
        <v>520</v>
      </c>
      <c r="I7" s="13">
        <f t="shared" si="0"/>
        <v>600</v>
      </c>
    </row>
    <row r="8" spans="1:9" ht="17.399999999999999" thickBot="1" x14ac:dyDescent="0.35">
      <c r="A8" s="5">
        <v>7</v>
      </c>
      <c r="B8" s="3">
        <v>46108</v>
      </c>
      <c r="C8" s="2" t="s">
        <v>33</v>
      </c>
      <c r="D8" s="2" t="s">
        <v>9</v>
      </c>
      <c r="E8" s="2" t="s">
        <v>16</v>
      </c>
      <c r="F8" s="2">
        <v>6</v>
      </c>
      <c r="G8" s="9">
        <v>60</v>
      </c>
      <c r="H8" s="9">
        <v>691.25</v>
      </c>
      <c r="I8" s="13">
        <f t="shared" si="0"/>
        <v>360</v>
      </c>
    </row>
    <row r="9" spans="1:9" ht="17.399999999999999" thickBot="1" x14ac:dyDescent="0.35">
      <c r="A9" s="5">
        <v>8</v>
      </c>
      <c r="B9" s="3">
        <v>46109</v>
      </c>
      <c r="C9" s="2" t="s">
        <v>35</v>
      </c>
      <c r="D9" s="2" t="s">
        <v>9</v>
      </c>
      <c r="E9" s="2" t="s">
        <v>16</v>
      </c>
      <c r="F9" s="2">
        <v>8</v>
      </c>
      <c r="G9" s="9">
        <v>100.96</v>
      </c>
      <c r="H9" s="9">
        <v>410</v>
      </c>
      <c r="I9" s="13">
        <f t="shared" si="0"/>
        <v>807.68</v>
      </c>
    </row>
    <row r="10" spans="1:9" ht="17.399999999999999" thickBot="1" x14ac:dyDescent="0.35">
      <c r="A10" s="5">
        <v>9</v>
      </c>
      <c r="B10" s="3">
        <v>46111</v>
      </c>
      <c r="C10" s="2" t="s">
        <v>37</v>
      </c>
      <c r="D10" s="2" t="s">
        <v>9</v>
      </c>
      <c r="E10" s="2" t="s">
        <v>82</v>
      </c>
      <c r="F10" s="2">
        <v>12</v>
      </c>
      <c r="G10" s="9">
        <v>35.5</v>
      </c>
      <c r="H10" s="9">
        <v>300</v>
      </c>
      <c r="I10" s="13">
        <f t="shared" si="0"/>
        <v>426</v>
      </c>
    </row>
    <row r="11" spans="1:9" ht="17.399999999999999" thickBot="1" x14ac:dyDescent="0.35">
      <c r="A11" s="5">
        <v>10</v>
      </c>
      <c r="B11" s="3">
        <v>46026</v>
      </c>
      <c r="C11" s="2" t="s">
        <v>40</v>
      </c>
      <c r="D11" s="2" t="s">
        <v>9</v>
      </c>
      <c r="E11" s="2" t="s">
        <v>16</v>
      </c>
      <c r="F11" s="2">
        <v>7</v>
      </c>
      <c r="G11" s="9">
        <v>75.25</v>
      </c>
      <c r="H11" s="9">
        <v>480.75</v>
      </c>
      <c r="I11" s="13">
        <f t="shared" si="0"/>
        <v>526.75</v>
      </c>
    </row>
    <row r="12" spans="1:9" ht="17.399999999999999" thickBot="1" x14ac:dyDescent="0.35">
      <c r="A12" s="5">
        <v>11</v>
      </c>
      <c r="B12" s="3">
        <v>46114</v>
      </c>
      <c r="C12" s="2" t="s">
        <v>41</v>
      </c>
      <c r="D12" s="2" t="s">
        <v>9</v>
      </c>
      <c r="E12" s="2" t="s">
        <v>16</v>
      </c>
      <c r="F12" s="2">
        <v>9</v>
      </c>
      <c r="G12" s="9">
        <v>55</v>
      </c>
      <c r="H12" s="9">
        <v>420</v>
      </c>
      <c r="I12" s="13">
        <f t="shared" si="0"/>
        <v>495</v>
      </c>
    </row>
    <row r="13" spans="1:9" ht="17.399999999999999" thickBot="1" x14ac:dyDescent="0.35">
      <c r="A13" s="5">
        <v>12</v>
      </c>
      <c r="B13" s="3">
        <v>46085</v>
      </c>
      <c r="C13" s="2" t="s">
        <v>44</v>
      </c>
      <c r="D13" s="2" t="s">
        <v>9</v>
      </c>
      <c r="E13" s="2" t="s">
        <v>16</v>
      </c>
      <c r="F13" s="2">
        <v>15</v>
      </c>
      <c r="G13" s="9">
        <v>40</v>
      </c>
      <c r="H13" s="9">
        <v>560</v>
      </c>
      <c r="I13" s="13">
        <f t="shared" si="0"/>
        <v>600</v>
      </c>
    </row>
    <row r="14" spans="1:9" ht="17.399999999999999" thickBot="1" x14ac:dyDescent="0.35">
      <c r="A14" s="5">
        <v>13</v>
      </c>
      <c r="B14" s="3">
        <v>46117</v>
      </c>
      <c r="C14" s="2" t="s">
        <v>46</v>
      </c>
      <c r="D14" s="2" t="s">
        <v>9</v>
      </c>
      <c r="E14" s="2" t="s">
        <v>82</v>
      </c>
      <c r="F14" s="2">
        <v>3</v>
      </c>
      <c r="G14" s="9">
        <v>200</v>
      </c>
      <c r="H14" s="9">
        <v>610</v>
      </c>
      <c r="I14" s="13">
        <f t="shared" si="0"/>
        <v>600</v>
      </c>
    </row>
    <row r="15" spans="1:9" ht="34.200000000000003" thickBot="1" x14ac:dyDescent="0.35">
      <c r="A15" s="5">
        <v>14</v>
      </c>
      <c r="B15" s="3">
        <v>46177</v>
      </c>
      <c r="C15" s="2" t="s">
        <v>49</v>
      </c>
      <c r="D15" s="2" t="s">
        <v>9</v>
      </c>
      <c r="E15" s="2" t="s">
        <v>16</v>
      </c>
      <c r="F15" s="2">
        <v>11</v>
      </c>
      <c r="G15" s="9">
        <v>48.5</v>
      </c>
      <c r="H15" s="9">
        <v>691.25</v>
      </c>
      <c r="I15" s="13">
        <f t="shared" si="0"/>
        <v>533.5</v>
      </c>
    </row>
    <row r="16" spans="1:9" ht="17.399999999999999" thickBot="1" x14ac:dyDescent="0.35">
      <c r="A16" s="5">
        <v>15</v>
      </c>
      <c r="B16" s="3">
        <v>46119</v>
      </c>
      <c r="C16" s="2" t="s">
        <v>50</v>
      </c>
      <c r="D16" s="2" t="s">
        <v>9</v>
      </c>
      <c r="E16" s="2" t="s">
        <v>16</v>
      </c>
      <c r="F16" s="2">
        <v>2</v>
      </c>
      <c r="G16" s="9">
        <v>500</v>
      </c>
      <c r="H16" s="9">
        <v>950</v>
      </c>
      <c r="I16" s="13">
        <f t="shared" si="0"/>
        <v>1000</v>
      </c>
    </row>
    <row r="17" spans="1:9" ht="17.399999999999999" thickBot="1" x14ac:dyDescent="0.35">
      <c r="A17" s="5">
        <v>16</v>
      </c>
      <c r="B17" s="3">
        <v>46238</v>
      </c>
      <c r="C17" s="2" t="s">
        <v>53</v>
      </c>
      <c r="D17" s="2" t="s">
        <v>9</v>
      </c>
      <c r="E17" s="2" t="s">
        <v>16</v>
      </c>
      <c r="F17" s="2">
        <v>20</v>
      </c>
      <c r="G17" s="9">
        <v>25</v>
      </c>
      <c r="H17" s="9">
        <v>430</v>
      </c>
      <c r="I17" s="13">
        <f t="shared" si="0"/>
        <v>500</v>
      </c>
    </row>
    <row r="18" spans="1:9" ht="34.200000000000003" thickBot="1" x14ac:dyDescent="0.35">
      <c r="A18" s="5">
        <v>17</v>
      </c>
      <c r="B18" s="3">
        <v>46121</v>
      </c>
      <c r="C18" s="2" t="s">
        <v>55</v>
      </c>
      <c r="D18" s="2" t="s">
        <v>9</v>
      </c>
      <c r="E18" s="2" t="s">
        <v>82</v>
      </c>
      <c r="F18" s="2">
        <v>6</v>
      </c>
      <c r="G18" s="9">
        <v>110</v>
      </c>
      <c r="H18" s="9">
        <v>590</v>
      </c>
      <c r="I18" s="13">
        <f t="shared" si="0"/>
        <v>660</v>
      </c>
    </row>
    <row r="19" spans="1:9" ht="17.399999999999999" thickBot="1" x14ac:dyDescent="0.35">
      <c r="A19" s="5">
        <v>18</v>
      </c>
      <c r="B19" s="3">
        <v>46299</v>
      </c>
      <c r="C19" s="2" t="s">
        <v>58</v>
      </c>
      <c r="D19" s="2" t="s">
        <v>9</v>
      </c>
      <c r="E19" s="2" t="s">
        <v>16</v>
      </c>
      <c r="F19" s="2">
        <v>4</v>
      </c>
      <c r="G19" s="9">
        <v>130.75</v>
      </c>
      <c r="H19" s="9">
        <v>510</v>
      </c>
      <c r="I19" s="13">
        <f t="shared" si="0"/>
        <v>523</v>
      </c>
    </row>
    <row r="20" spans="1:9" ht="17.399999999999999" thickBot="1" x14ac:dyDescent="0.35">
      <c r="A20" s="5">
        <v>19</v>
      </c>
      <c r="B20" s="3">
        <v>46123</v>
      </c>
      <c r="C20" s="2" t="s">
        <v>59</v>
      </c>
      <c r="D20" s="2" t="s">
        <v>9</v>
      </c>
      <c r="E20" s="2" t="s">
        <v>16</v>
      </c>
      <c r="F20" s="2">
        <v>5</v>
      </c>
      <c r="G20" s="9">
        <v>100.96</v>
      </c>
      <c r="H20" s="9">
        <v>260</v>
      </c>
      <c r="I20" s="13">
        <f t="shared" si="0"/>
        <v>504.79999999999995</v>
      </c>
    </row>
    <row r="21" spans="1:9" ht="17.399999999999999" thickBot="1" x14ac:dyDescent="0.35">
      <c r="A21" s="5">
        <v>20</v>
      </c>
      <c r="B21" s="3">
        <v>46360</v>
      </c>
      <c r="C21" s="2" t="s">
        <v>61</v>
      </c>
      <c r="D21" s="2" t="s">
        <v>9</v>
      </c>
      <c r="E21" s="2" t="s">
        <v>16</v>
      </c>
      <c r="F21" s="2">
        <v>14</v>
      </c>
      <c r="G21" s="9">
        <v>42</v>
      </c>
      <c r="H21" s="9">
        <v>600</v>
      </c>
      <c r="I21" s="13">
        <f t="shared" si="0"/>
        <v>588</v>
      </c>
    </row>
    <row r="22" spans="1:9" ht="34.200000000000003" thickBot="1" x14ac:dyDescent="0.35">
      <c r="A22" s="5">
        <v>21</v>
      </c>
      <c r="B22" s="3">
        <v>46125</v>
      </c>
      <c r="C22" s="2" t="s">
        <v>64</v>
      </c>
      <c r="D22" s="2" t="s">
        <v>9</v>
      </c>
      <c r="E22" s="2" t="s">
        <v>82</v>
      </c>
      <c r="F22" s="2">
        <v>9</v>
      </c>
      <c r="G22" s="9">
        <v>95</v>
      </c>
      <c r="H22" s="9">
        <v>691.25</v>
      </c>
      <c r="I22" s="13">
        <f t="shared" si="0"/>
        <v>855</v>
      </c>
    </row>
    <row r="23" spans="1:9" ht="17.399999999999999" thickBot="1" x14ac:dyDescent="0.35">
      <c r="A23" s="5">
        <v>22</v>
      </c>
      <c r="B23" s="3">
        <v>46126</v>
      </c>
      <c r="C23" s="2" t="s">
        <v>66</v>
      </c>
      <c r="D23" s="2" t="s">
        <v>9</v>
      </c>
      <c r="E23" s="2" t="s">
        <v>16</v>
      </c>
      <c r="F23" s="2">
        <v>7</v>
      </c>
      <c r="G23" s="9">
        <v>88.5</v>
      </c>
      <c r="H23" s="9">
        <v>500</v>
      </c>
      <c r="I23" s="13">
        <f t="shared" si="0"/>
        <v>619.5</v>
      </c>
    </row>
    <row r="24" spans="1:9" ht="17.399999999999999" thickBot="1" x14ac:dyDescent="0.35">
      <c r="A24" s="5">
        <v>23</v>
      </c>
      <c r="B24" s="3">
        <v>46127</v>
      </c>
      <c r="C24" s="2" t="s">
        <v>68</v>
      </c>
      <c r="D24" s="2" t="s">
        <v>9</v>
      </c>
      <c r="E24" s="2" t="s">
        <v>16</v>
      </c>
      <c r="F24" s="2">
        <v>13</v>
      </c>
      <c r="G24" s="9">
        <v>39.9</v>
      </c>
      <c r="H24" s="9">
        <v>480</v>
      </c>
      <c r="I24" s="13">
        <f t="shared" si="0"/>
        <v>518.69999999999993</v>
      </c>
    </row>
    <row r="25" spans="1:9" ht="17.399999999999999" thickBot="1" x14ac:dyDescent="0.35">
      <c r="A25" s="5">
        <v>24</v>
      </c>
      <c r="B25" s="3">
        <v>46128</v>
      </c>
      <c r="C25" s="2" t="s">
        <v>70</v>
      </c>
      <c r="D25" s="2" t="s">
        <v>9</v>
      </c>
      <c r="E25" s="2" t="s">
        <v>16</v>
      </c>
      <c r="F25" s="2">
        <v>16</v>
      </c>
      <c r="G25" s="9">
        <v>30</v>
      </c>
      <c r="H25" s="9">
        <v>520</v>
      </c>
      <c r="I25" s="13">
        <f t="shared" si="0"/>
        <v>480</v>
      </c>
    </row>
    <row r="26" spans="1:9" ht="17.399999999999999" thickBot="1" x14ac:dyDescent="0.35">
      <c r="A26" s="5">
        <v>25</v>
      </c>
      <c r="B26" s="3">
        <v>46129</v>
      </c>
      <c r="C26" s="2" t="s">
        <v>72</v>
      </c>
      <c r="D26" s="2" t="s">
        <v>9</v>
      </c>
      <c r="E26" s="2" t="s">
        <v>82</v>
      </c>
      <c r="F26" s="2">
        <v>10</v>
      </c>
      <c r="G26" s="9">
        <v>70</v>
      </c>
      <c r="H26" s="9">
        <v>650</v>
      </c>
      <c r="I26" s="13">
        <f t="shared" si="0"/>
        <v>700</v>
      </c>
    </row>
    <row r="27" spans="1:9" ht="17.399999999999999" thickBot="1" x14ac:dyDescent="0.35">
      <c r="A27" s="5">
        <v>26</v>
      </c>
      <c r="B27" s="3">
        <v>46130</v>
      </c>
      <c r="C27" s="2" t="s">
        <v>75</v>
      </c>
      <c r="D27" s="2" t="s">
        <v>9</v>
      </c>
      <c r="E27" s="2" t="s">
        <v>16</v>
      </c>
      <c r="F27" s="2">
        <v>18</v>
      </c>
      <c r="G27" s="9">
        <v>28.5</v>
      </c>
      <c r="H27" s="9">
        <v>510</v>
      </c>
      <c r="I27" s="13">
        <f t="shared" si="0"/>
        <v>513</v>
      </c>
    </row>
    <row r="28" spans="1:9" ht="34.200000000000003" thickBot="1" x14ac:dyDescent="0.35">
      <c r="A28" s="5">
        <v>27</v>
      </c>
      <c r="B28" s="3">
        <v>46131</v>
      </c>
      <c r="C28" s="2" t="s">
        <v>78</v>
      </c>
      <c r="D28" s="2" t="s">
        <v>9</v>
      </c>
      <c r="E28" s="2" t="s">
        <v>16</v>
      </c>
      <c r="F28" s="2">
        <v>6</v>
      </c>
      <c r="G28" s="9">
        <v>140</v>
      </c>
      <c r="H28" s="9">
        <v>780</v>
      </c>
      <c r="I28" s="13">
        <f t="shared" si="0"/>
        <v>840</v>
      </c>
    </row>
    <row r="29" spans="1:9" ht="17.399999999999999" thickBot="1" x14ac:dyDescent="0.35">
      <c r="A29" s="5">
        <v>28</v>
      </c>
      <c r="B29" s="3">
        <v>46132</v>
      </c>
      <c r="C29" s="2" t="s">
        <v>80</v>
      </c>
      <c r="D29" s="2" t="s">
        <v>9</v>
      </c>
      <c r="E29" s="2" t="s">
        <v>16</v>
      </c>
      <c r="F29" s="2">
        <v>9</v>
      </c>
      <c r="G29" s="9">
        <v>65</v>
      </c>
      <c r="H29" s="9">
        <v>560</v>
      </c>
      <c r="I29" s="13">
        <f t="shared" si="0"/>
        <v>585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4E50-0D59-431E-B7D2-EE5B7D16C729}">
  <dimension ref="B2:C9"/>
  <sheetViews>
    <sheetView workbookViewId="0">
      <selection activeCell="E11" sqref="E11"/>
    </sheetView>
  </sheetViews>
  <sheetFormatPr baseColWidth="10" defaultRowHeight="14.4" x14ac:dyDescent="0.3"/>
  <cols>
    <col min="2" max="2" width="19.6640625" bestFit="1" customWidth="1"/>
  </cols>
  <sheetData>
    <row r="2" spans="2:3" x14ac:dyDescent="0.3">
      <c r="B2" t="s">
        <v>85</v>
      </c>
      <c r="C2">
        <f>SUM(Datos_Limpios!I:I)</f>
        <v>15769.63</v>
      </c>
    </row>
    <row r="3" spans="2:3" x14ac:dyDescent="0.3">
      <c r="B3" t="s">
        <v>86</v>
      </c>
      <c r="C3" s="10">
        <f>SUM(Datos_Limpios!I:I)-SUM(Datos_Limpios!H:H)</f>
        <v>-3585.3700000000008</v>
      </c>
    </row>
    <row r="4" spans="2:3" x14ac:dyDescent="0.3">
      <c r="B4" t="s">
        <v>87</v>
      </c>
      <c r="C4">
        <f>C3/C2</f>
        <v>-0.22735917076050619</v>
      </c>
    </row>
    <row r="9" spans="2:3" x14ac:dyDescent="0.3">
      <c r="C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Datos_Sucios</vt:lpstr>
      <vt:lpstr>Hoja1</vt:lpstr>
      <vt:lpstr>Datos_Limpios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Manosalvas</dc:creator>
  <cp:lastModifiedBy>Carlos Chile</cp:lastModifiedBy>
  <dcterms:created xsi:type="dcterms:W3CDTF">2026-04-20T03:30:22Z</dcterms:created>
  <dcterms:modified xsi:type="dcterms:W3CDTF">2026-04-22T21:29:51Z</dcterms:modified>
</cp:coreProperties>
</file>