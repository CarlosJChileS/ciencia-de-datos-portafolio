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3c3bc5f2d2393b/Documentos/"/>
    </mc:Choice>
  </mc:AlternateContent>
  <xr:revisionPtr revIDLastSave="9" documentId="8_{6D9DC993-32D9-4C02-97E1-D427F7B3EBE0}" xr6:coauthVersionLast="47" xr6:coauthVersionMax="47" xr10:uidLastSave="{13D44B03-9F9D-44AA-B00A-C57CB0EDA3A5}"/>
  <bookViews>
    <workbookView xWindow="28680" yWindow="-1830" windowWidth="29040" windowHeight="15720" xr2:uid="{312623BE-5C01-470C-A22A-52604DB7BA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D17" i="1"/>
  <c r="D13" i="1"/>
  <c r="D15" i="1"/>
  <c r="D16" i="1"/>
  <c r="D14" i="1"/>
</calcChain>
</file>

<file path=xl/sharedStrings.xml><?xml version="1.0" encoding="utf-8"?>
<sst xmlns="http://schemas.openxmlformats.org/spreadsheetml/2006/main" count="9" uniqueCount="9">
  <si>
    <t>MEDIANA</t>
  </si>
  <si>
    <t>MEDIA</t>
  </si>
  <si>
    <t>DESVIACION ESTANDAR</t>
  </si>
  <si>
    <t>MINIMO</t>
  </si>
  <si>
    <t>MAXIMO</t>
  </si>
  <si>
    <t>MODA</t>
  </si>
  <si>
    <t>¿La Media es confiable?</t>
  </si>
  <si>
    <t>¿Qué causa los outliers (valores atípicos)?</t>
  </si>
  <si>
    <t>Decisión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</si>
</sst>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Grafico</a:t>
            </a:r>
            <a:r>
              <a:rPr lang="es-US" baseline="0"/>
              <a:t> de linea</a:t>
            </a:r>
            <a:endParaRPr lang="es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>
        <c:manualLayout>
          <c:layoutTarget val="inner"/>
          <c:xMode val="edge"/>
          <c:yMode val="edge"/>
          <c:x val="6.8136482939632551E-2"/>
          <c:y val="0.17171296296296298"/>
          <c:w val="0.89019685039370078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Hoja1!$A$2:$A$31</c:f>
              <c:numCache>
                <c:formatCode>General</c:formatCode>
                <c:ptCount val="30"/>
                <c:pt idx="0">
                  <c:v>45</c:v>
                </c:pt>
                <c:pt idx="1">
                  <c:v>52</c:v>
                </c:pt>
                <c:pt idx="2">
                  <c:v>48</c:v>
                </c:pt>
                <c:pt idx="3">
                  <c:v>60</c:v>
                </c:pt>
                <c:pt idx="4">
                  <c:v>55</c:v>
                </c:pt>
                <c:pt idx="5">
                  <c:v>47</c:v>
                </c:pt>
                <c:pt idx="6">
                  <c:v>51</c:v>
                </c:pt>
                <c:pt idx="7">
                  <c:v>53</c:v>
                </c:pt>
                <c:pt idx="8">
                  <c:v>95</c:v>
                </c:pt>
                <c:pt idx="9">
                  <c:v>50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46</c:v>
                </c:pt>
                <c:pt idx="14">
                  <c:v>54</c:v>
                </c:pt>
                <c:pt idx="15">
                  <c:v>50</c:v>
                </c:pt>
                <c:pt idx="16">
                  <c:v>51</c:v>
                </c:pt>
                <c:pt idx="17">
                  <c:v>120</c:v>
                </c:pt>
                <c:pt idx="18">
                  <c:v>48</c:v>
                </c:pt>
                <c:pt idx="19">
                  <c:v>53</c:v>
                </c:pt>
                <c:pt idx="20">
                  <c:v>55</c:v>
                </c:pt>
                <c:pt idx="21">
                  <c:v>49</c:v>
                </c:pt>
                <c:pt idx="22">
                  <c:v>52</c:v>
                </c:pt>
                <c:pt idx="23">
                  <c:v>50</c:v>
                </c:pt>
                <c:pt idx="24">
                  <c:v>56</c:v>
                </c:pt>
                <c:pt idx="25">
                  <c:v>51</c:v>
                </c:pt>
                <c:pt idx="26">
                  <c:v>47</c:v>
                </c:pt>
                <c:pt idx="27">
                  <c:v>50</c:v>
                </c:pt>
                <c:pt idx="28">
                  <c:v>52</c:v>
                </c:pt>
                <c:pt idx="2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05-49DF-A7DD-AE8D4ED94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331263"/>
        <c:axId val="1228330303"/>
      </c:lineChart>
      <c:catAx>
        <c:axId val="1228331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228330303"/>
        <c:crosses val="autoZero"/>
        <c:auto val="1"/>
        <c:lblAlgn val="ctr"/>
        <c:lblOffset val="100"/>
        <c:noMultiLvlLbl val="0"/>
      </c:catAx>
      <c:valAx>
        <c:axId val="122833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228331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Grafico de dispersion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Hoja1!$A$2:$A$31</c:f>
              <c:numCache>
                <c:formatCode>General</c:formatCode>
                <c:ptCount val="30"/>
                <c:pt idx="0">
                  <c:v>45</c:v>
                </c:pt>
                <c:pt idx="1">
                  <c:v>52</c:v>
                </c:pt>
                <c:pt idx="2">
                  <c:v>48</c:v>
                </c:pt>
                <c:pt idx="3">
                  <c:v>60</c:v>
                </c:pt>
                <c:pt idx="4">
                  <c:v>55</c:v>
                </c:pt>
                <c:pt idx="5">
                  <c:v>47</c:v>
                </c:pt>
                <c:pt idx="6">
                  <c:v>51</c:v>
                </c:pt>
                <c:pt idx="7">
                  <c:v>53</c:v>
                </c:pt>
                <c:pt idx="8">
                  <c:v>95</c:v>
                </c:pt>
                <c:pt idx="9">
                  <c:v>50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46</c:v>
                </c:pt>
                <c:pt idx="14">
                  <c:v>54</c:v>
                </c:pt>
                <c:pt idx="15">
                  <c:v>50</c:v>
                </c:pt>
                <c:pt idx="16">
                  <c:v>51</c:v>
                </c:pt>
                <c:pt idx="17">
                  <c:v>120</c:v>
                </c:pt>
                <c:pt idx="18">
                  <c:v>48</c:v>
                </c:pt>
                <c:pt idx="19">
                  <c:v>53</c:v>
                </c:pt>
                <c:pt idx="20">
                  <c:v>55</c:v>
                </c:pt>
                <c:pt idx="21">
                  <c:v>49</c:v>
                </c:pt>
                <c:pt idx="22">
                  <c:v>52</c:v>
                </c:pt>
                <c:pt idx="23">
                  <c:v>50</c:v>
                </c:pt>
                <c:pt idx="24">
                  <c:v>56</c:v>
                </c:pt>
                <c:pt idx="25">
                  <c:v>51</c:v>
                </c:pt>
                <c:pt idx="26">
                  <c:v>47</c:v>
                </c:pt>
                <c:pt idx="27">
                  <c:v>50</c:v>
                </c:pt>
                <c:pt idx="28">
                  <c:v>52</c:v>
                </c:pt>
                <c:pt idx="29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20-449D-8D20-54AEA6989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143152"/>
        <c:axId val="1905149872"/>
      </c:scatterChart>
      <c:valAx>
        <c:axId val="190514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905149872"/>
        <c:crosses val="autoZero"/>
        <c:crossBetween val="midCat"/>
      </c:valAx>
      <c:valAx>
        <c:axId val="190514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905143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515470</xdr:colOff>
      <xdr:row>1</xdr:row>
      <xdr:rowOff>2</xdr:rowOff>
    </xdr:from>
    <xdr:to>
      <xdr:col>10</xdr:col>
      <xdr:colOff>354105</xdr:colOff>
      <xdr:row>16</xdr:row>
      <xdr:rowOff>53790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DC4D048-17A2-7939-8D3E-622D943C1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161365</xdr:rowOff>
    </xdr:from>
    <xdr:to>
      <xdr:col>11</xdr:col>
      <xdr:colOff>26894</xdr:colOff>
      <xdr:row>36</xdr:row>
      <xdr:rowOff>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D7D13AB-98E4-718A-7AA6-72AF909F3948}"/>
            </a:ext>
          </a:extLst>
        </xdr:cNvPr>
        <xdr:cNvSpPr/>
      </xdr:nvSpPr>
      <xdr:spPr>
        <a:xfrm>
          <a:off x="0" y="5719483"/>
          <a:ext cx="9377082" cy="73510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este caso, </a:t>
          </a:r>
          <a:r>
            <a:rPr lang="es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media ($54.9$) no es un indicador totalmente confiable</a:t>
          </a:r>
          <a:r>
            <a:rPr lang="es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s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 observar los datos, se nota que la mayoría de los valores se mantienen cerca de </a:t>
          </a:r>
          <a:r>
            <a:rPr lang="es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$51$</a:t>
          </a:r>
          <a:r>
            <a:rPr lang="es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(la mediana) o </a:t>
          </a:r>
          <a:r>
            <a:rPr lang="es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$52$</a:t>
          </a:r>
          <a:r>
            <a:rPr lang="es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(la moda). El promedio se eleva a casi $55$ únicamente porque hay dos valores muy altos ($95$ y $120$) que "empujan" el resultado hacia arriba. </a:t>
          </a:r>
        </a:p>
        <a:p>
          <a:pPr algn="l"/>
          <a:endParaRPr lang="es-US" sz="1100"/>
        </a:p>
      </xdr:txBody>
    </xdr:sp>
    <xdr:clientData/>
  </xdr:twoCellAnchor>
  <xdr:twoCellAnchor>
    <xdr:from>
      <xdr:col>0</xdr:col>
      <xdr:colOff>26894</xdr:colOff>
      <xdr:row>38</xdr:row>
      <xdr:rowOff>1</xdr:rowOff>
    </xdr:from>
    <xdr:to>
      <xdr:col>11</xdr:col>
      <xdr:colOff>53788</xdr:colOff>
      <xdr:row>42</xdr:row>
      <xdr:rowOff>17930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AAFD3F2B-C8EB-4453-87B5-535C17893BE5}"/>
            </a:ext>
          </a:extLst>
        </xdr:cNvPr>
        <xdr:cNvSpPr/>
      </xdr:nvSpPr>
      <xdr:spPr>
        <a:xfrm>
          <a:off x="26894" y="6813177"/>
          <a:ext cx="9377082" cy="73510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US" b="1"/>
            <a:t>Errores humanos:</a:t>
          </a:r>
          <a:r>
            <a:rPr lang="es-US"/>
            <a:t> Una equivocación al momento de ingresar los números en la hoja de cálculo.</a:t>
          </a:r>
        </a:p>
        <a:p>
          <a:r>
            <a:rPr lang="es-US" b="1"/>
            <a:t>Fallas de medición:</a:t>
          </a:r>
          <a:r>
            <a:rPr lang="es-US"/>
            <a:t> Si los datos provienen de algún equipo o sistema, pudo haber una lectura incorrecta o un error momentáneo.</a:t>
          </a:r>
        </a:p>
        <a:p>
          <a:r>
            <a:rPr lang="es-US" b="1"/>
            <a:t>Situaciones extraordinarias:</a:t>
          </a:r>
          <a:r>
            <a:rPr lang="es-US"/>
            <a:t> Eventos reales que se salen de lo común. Por ejemplo, un día de ventas inusualmente alto o una situación atípica que no se repite con frecuencia.</a:t>
          </a:r>
        </a:p>
        <a:p>
          <a:pPr algn="l"/>
          <a:endParaRPr lang="es-US" sz="1100"/>
        </a:p>
      </xdr:txBody>
    </xdr:sp>
    <xdr:clientData/>
  </xdr:twoCellAnchor>
  <xdr:twoCellAnchor>
    <xdr:from>
      <xdr:col>0</xdr:col>
      <xdr:colOff>0</xdr:colOff>
      <xdr:row>44</xdr:row>
      <xdr:rowOff>125507</xdr:rowOff>
    </xdr:from>
    <xdr:to>
      <xdr:col>11</xdr:col>
      <xdr:colOff>26894</xdr:colOff>
      <xdr:row>51</xdr:row>
      <xdr:rowOff>98612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68FF6B42-4D7C-410A-91E0-7F3E71E69D94}"/>
            </a:ext>
          </a:extLst>
        </xdr:cNvPr>
        <xdr:cNvSpPr/>
      </xdr:nvSpPr>
      <xdr:spPr>
        <a:xfrm>
          <a:off x="0" y="8014448"/>
          <a:ext cx="9377082" cy="122816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Utilizar la Mediana ($51$):</a:t>
          </a:r>
          <a:r>
            <a:rPr lang="es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Para presentar un informe sobre lo que sucede "normalmente", la mediana es mucho más honesta, ya que no se ve afectada por los valores extremos.</a:t>
          </a:r>
        </a:p>
        <a:p>
          <a:r>
            <a:rPr lang="es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Investigar los valores altos:</a:t>
          </a:r>
          <a:r>
            <a:rPr lang="es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 necesario verificar si el $95$ y el $120$ son errores. Si lo son, deben corregirse o eliminarse para que no ensucien el análisis. Si son reales, deben tratarse como casos especiales y no mezclarse con el promedio general.</a:t>
          </a:r>
        </a:p>
        <a:p>
          <a:r>
            <a:rPr lang="es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Monitorear la variabilidad:</a:t>
          </a:r>
          <a:r>
            <a:rPr lang="es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Dado que hay mucha diferencia entre el valor más bajo ($45$) y el más alto ($120$), es importante estar atentos a futuros registros para ver si esos picos se vuelven frecuentes o fueron casos aislados.</a:t>
          </a:r>
        </a:p>
        <a:p>
          <a:pPr algn="l"/>
          <a:endParaRPr lang="es-US" sz="1100"/>
        </a:p>
      </xdr:txBody>
    </xdr:sp>
    <xdr:clientData/>
  </xdr:twoCellAnchor>
  <xdr:twoCellAnchor>
    <xdr:from>
      <xdr:col>4</xdr:col>
      <xdr:colOff>510988</xdr:colOff>
      <xdr:row>16</xdr:row>
      <xdr:rowOff>26895</xdr:rowOff>
    </xdr:from>
    <xdr:to>
      <xdr:col>10</xdr:col>
      <xdr:colOff>264458</xdr:colOff>
      <xdr:row>31</xdr:row>
      <xdr:rowOff>8964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A16F3AA-6518-DCE2-268C-7ED8D34D2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674258</xdr:colOff>
      <xdr:row>0</xdr:row>
      <xdr:rowOff>59839</xdr:rowOff>
    </xdr:from>
    <xdr:to>
      <xdr:col>18</xdr:col>
      <xdr:colOff>676163</xdr:colOff>
      <xdr:row>3</xdr:row>
      <xdr:rowOff>28127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FFFE7ED6-F62C-B18D-69A8-BA44F7883C5C}"/>
            </a:ext>
          </a:extLst>
        </xdr:cNvPr>
        <xdr:cNvSpPr/>
      </xdr:nvSpPr>
      <xdr:spPr>
        <a:xfrm>
          <a:off x="10098405" y="59839"/>
          <a:ext cx="5571229" cy="50617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US" sz="2800"/>
            <a:t>Carlos</a:t>
          </a:r>
          <a:r>
            <a:rPr lang="es-US" sz="2800" baseline="0"/>
            <a:t> Chile</a:t>
          </a:r>
          <a:endParaRPr lang="es-US" sz="28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7F73-7731-474F-B5E4-B08A269CD61A}">
  <dimension ref="A2:K44"/>
  <sheetViews>
    <sheetView showGridLines="0" tabSelected="1" zoomScale="85" zoomScaleNormal="85" workbookViewId="0">
      <selection activeCell="K53" sqref="K53"/>
    </sheetView>
  </sheetViews>
  <sheetFormatPr baseColWidth="10" defaultRowHeight="14.4" x14ac:dyDescent="0.3"/>
  <cols>
    <col min="3" max="3" width="21.33203125" bestFit="1" customWidth="1"/>
  </cols>
  <sheetData>
    <row r="2" spans="1:4" x14ac:dyDescent="0.3">
      <c r="A2">
        <v>45</v>
      </c>
    </row>
    <row r="3" spans="1:4" x14ac:dyDescent="0.3">
      <c r="A3">
        <v>52</v>
      </c>
    </row>
    <row r="4" spans="1:4" x14ac:dyDescent="0.3">
      <c r="A4">
        <v>48</v>
      </c>
    </row>
    <row r="5" spans="1:4" x14ac:dyDescent="0.3">
      <c r="A5">
        <v>60</v>
      </c>
    </row>
    <row r="6" spans="1:4" x14ac:dyDescent="0.3">
      <c r="A6">
        <v>55</v>
      </c>
    </row>
    <row r="7" spans="1:4" x14ac:dyDescent="0.3">
      <c r="A7">
        <v>47</v>
      </c>
    </row>
    <row r="8" spans="1:4" x14ac:dyDescent="0.3">
      <c r="A8">
        <v>51</v>
      </c>
    </row>
    <row r="9" spans="1:4" x14ac:dyDescent="0.3">
      <c r="A9">
        <v>53</v>
      </c>
    </row>
    <row r="10" spans="1:4" x14ac:dyDescent="0.3">
      <c r="A10">
        <v>95</v>
      </c>
    </row>
    <row r="11" spans="1:4" x14ac:dyDescent="0.3">
      <c r="A11">
        <v>50</v>
      </c>
    </row>
    <row r="12" spans="1:4" x14ac:dyDescent="0.3">
      <c r="A12">
        <v>49</v>
      </c>
    </row>
    <row r="13" spans="1:4" x14ac:dyDescent="0.3">
      <c r="A13">
        <v>52</v>
      </c>
      <c r="C13" t="s">
        <v>1</v>
      </c>
      <c r="D13">
        <f>AVERAGE(A2:A31)</f>
        <v>54.9</v>
      </c>
    </row>
    <row r="14" spans="1:4" x14ac:dyDescent="0.3">
      <c r="A14">
        <v>58</v>
      </c>
      <c r="C14" t="s">
        <v>0</v>
      </c>
      <c r="D14">
        <f>MEDIAN(A2:A31)</f>
        <v>51</v>
      </c>
    </row>
    <row r="15" spans="1:4" x14ac:dyDescent="0.3">
      <c r="A15">
        <v>46</v>
      </c>
      <c r="C15" t="s">
        <v>2</v>
      </c>
      <c r="D15">
        <f>_xlfn.STDEV.S(A2:A31)</f>
        <v>15.063886937147807</v>
      </c>
    </row>
    <row r="16" spans="1:4" x14ac:dyDescent="0.3">
      <c r="A16">
        <v>54</v>
      </c>
      <c r="C16" t="s">
        <v>3</v>
      </c>
      <c r="D16">
        <f>MIN(A2:A31)</f>
        <v>45</v>
      </c>
    </row>
    <row r="17" spans="1:11" x14ac:dyDescent="0.3">
      <c r="A17">
        <v>50</v>
      </c>
      <c r="C17" t="s">
        <v>4</v>
      </c>
      <c r="D17">
        <f>MAX(A2:A31)</f>
        <v>120</v>
      </c>
    </row>
    <row r="18" spans="1:11" x14ac:dyDescent="0.3">
      <c r="A18">
        <v>51</v>
      </c>
      <c r="C18" t="s">
        <v>5</v>
      </c>
      <c r="D18">
        <f>MODE(A2:A31)</f>
        <v>52</v>
      </c>
    </row>
    <row r="19" spans="1:11" x14ac:dyDescent="0.3">
      <c r="A19">
        <v>120</v>
      </c>
    </row>
    <row r="20" spans="1:11" x14ac:dyDescent="0.3">
      <c r="A20">
        <v>48</v>
      </c>
    </row>
    <row r="21" spans="1:11" x14ac:dyDescent="0.3">
      <c r="A21">
        <v>53</v>
      </c>
    </row>
    <row r="22" spans="1:11" x14ac:dyDescent="0.3">
      <c r="A22">
        <v>55</v>
      </c>
    </row>
    <row r="23" spans="1:11" x14ac:dyDescent="0.3">
      <c r="A23">
        <v>49</v>
      </c>
    </row>
    <row r="24" spans="1:11" x14ac:dyDescent="0.3">
      <c r="A24">
        <v>52</v>
      </c>
    </row>
    <row r="25" spans="1:11" x14ac:dyDescent="0.3">
      <c r="A25">
        <v>50</v>
      </c>
    </row>
    <row r="26" spans="1:11" x14ac:dyDescent="0.3">
      <c r="A26">
        <v>56</v>
      </c>
    </row>
    <row r="27" spans="1:11" x14ac:dyDescent="0.3">
      <c r="A27">
        <v>51</v>
      </c>
    </row>
    <row r="28" spans="1:11" x14ac:dyDescent="0.3">
      <c r="A28">
        <v>47</v>
      </c>
    </row>
    <row r="29" spans="1:11" x14ac:dyDescent="0.3">
      <c r="A29">
        <v>50</v>
      </c>
    </row>
    <row r="30" spans="1:11" x14ac:dyDescent="0.3">
      <c r="A30">
        <v>52</v>
      </c>
    </row>
    <row r="31" spans="1:11" x14ac:dyDescent="0.3">
      <c r="A31">
        <v>48</v>
      </c>
    </row>
    <row r="32" spans="1:11" s="1" customFormat="1" x14ac:dyDescent="0.3">
      <c r="A32" s="2" t="s">
        <v>6</v>
      </c>
      <c r="B32" s="2"/>
      <c r="C32" s="2"/>
      <c r="D32" s="2"/>
      <c r="E32" s="2"/>
      <c r="F32" s="2"/>
      <c r="G32" s="2"/>
      <c r="H32" s="2"/>
      <c r="I32" s="2"/>
      <c r="J32" s="2"/>
      <c r="K32" s="2"/>
    </row>
    <row r="38" spans="1:11" s="1" customFormat="1" x14ac:dyDescent="0.3">
      <c r="A38" s="2" t="s">
        <v>7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44" spans="1:11" s="1" customFormat="1" x14ac:dyDescent="0.3">
      <c r="A44" s="2" t="s">
        <v>8</v>
      </c>
      <c r="B44" s="2"/>
      <c r="C44" s="2"/>
      <c r="D44" s="2"/>
      <c r="E44" s="2"/>
      <c r="F44" s="2"/>
      <c r="G44" s="2"/>
      <c r="H44" s="2"/>
      <c r="I44" s="2"/>
      <c r="J44" s="2"/>
      <c r="K44" s="2"/>
    </row>
  </sheetData>
  <mergeCells count="3">
    <mergeCell ref="A32:K32"/>
    <mergeCell ref="A38:K38"/>
    <mergeCell ref="A44:K44"/>
  </mergeCells>
  <pageMargins left="0.7" right="0.7" top="0.75" bottom="0.75" header="0.3" footer="0.3"/>
  <pageSetup paperSize="271" orientation="portrait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Chile</dc:creator>
  <cp:lastModifiedBy>Carlos Chile</cp:lastModifiedBy>
  <dcterms:created xsi:type="dcterms:W3CDTF">2026-04-13T13:52:19Z</dcterms:created>
  <dcterms:modified xsi:type="dcterms:W3CDTF">2026-04-22T19:56:52Z</dcterms:modified>
</cp:coreProperties>
</file>