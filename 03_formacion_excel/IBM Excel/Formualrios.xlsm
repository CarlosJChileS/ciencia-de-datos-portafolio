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1c1dbe10c234fcb/Escritorio/Excel Consultora Analitica/Consultora/Curso Excel/Excel/Escuela Excel/Mi curso de excel on line/Material/Ampliacion/Macros/"/>
    </mc:Choice>
  </mc:AlternateContent>
  <xr:revisionPtr revIDLastSave="250" documentId="8_{AF02D9F7-DD82-42D0-A213-1F27C9EB542A}" xr6:coauthVersionLast="45" xr6:coauthVersionMax="45" xr10:uidLastSave="{5245701D-593F-458B-9CE8-1436710D8FB5}"/>
  <bookViews>
    <workbookView xWindow="-120" yWindow="-120" windowWidth="20730" windowHeight="11160" tabRatio="644" xr2:uid="{20B4AD19-B8BA-49A6-ABD6-13B815EDC7B8}"/>
  </bookViews>
  <sheets>
    <sheet name="Casilla de verif" sheetId="1" r:id="rId1"/>
    <sheet name="Cuadro combinado" sheetId="2" r:id="rId2"/>
    <sheet name="Control de numero" sheetId="5" r:id="rId3"/>
    <sheet name="Opciones simple" sheetId="6" r:id="rId4"/>
    <sheet name="opciones agrupadas" sheetId="8" r:id="rId5"/>
  </sheets>
  <definedNames>
    <definedName name="_xlnm._FilterDatabase" localSheetId="0" hidden="1">'Casilla de verif'!$C$15:$D$20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5" l="1"/>
  <c r="C17" i="1"/>
  <c r="D17" i="1" s="1"/>
  <c r="C18" i="1"/>
  <c r="D18" i="1" s="1"/>
  <c r="C19" i="1"/>
  <c r="D19" i="1" s="1"/>
  <c r="C20" i="1"/>
  <c r="D20" i="1" s="1"/>
  <c r="C16" i="1"/>
  <c r="D16" i="1" s="1"/>
  <c r="B12" i="2" l="1"/>
  <c r="I6" i="8" l="1"/>
</calcChain>
</file>

<file path=xl/sharedStrings.xml><?xml version="1.0" encoding="utf-8"?>
<sst xmlns="http://schemas.openxmlformats.org/spreadsheetml/2006/main" count="77" uniqueCount="50">
  <si>
    <t>Productos a comprar</t>
  </si>
  <si>
    <t>Teclado</t>
  </si>
  <si>
    <t>Mouse</t>
  </si>
  <si>
    <t>USB</t>
  </si>
  <si>
    <t>Monitor</t>
  </si>
  <si>
    <t>Memoria</t>
  </si>
  <si>
    <t>Placa</t>
  </si>
  <si>
    <t>CPU</t>
  </si>
  <si>
    <t>Parlantes</t>
  </si>
  <si>
    <t>Mi lista a llevar</t>
  </si>
  <si>
    <t>Prodcuto</t>
  </si>
  <si>
    <t>Precio</t>
  </si>
  <si>
    <t>Producto</t>
  </si>
  <si>
    <t>Auto</t>
  </si>
  <si>
    <t>Moto</t>
  </si>
  <si>
    <t>Cuadri</t>
  </si>
  <si>
    <t>Patineta</t>
  </si>
  <si>
    <t>Monopatin</t>
  </si>
  <si>
    <t>4x4</t>
  </si>
  <si>
    <t>Rollers</t>
  </si>
  <si>
    <t>Otro</t>
  </si>
  <si>
    <t>Oren</t>
  </si>
  <si>
    <t>Llevar</t>
  </si>
  <si>
    <t>Cantidad a elegir</t>
  </si>
  <si>
    <t>Producto:</t>
  </si>
  <si>
    <t>Cantidad:</t>
  </si>
  <si>
    <t>Lija</t>
  </si>
  <si>
    <t>Martillo</t>
  </si>
  <si>
    <t>Tuerca</t>
  </si>
  <si>
    <t>Tornillo</t>
  </si>
  <si>
    <t xml:space="preserve">Pinza </t>
  </si>
  <si>
    <t>Tenaza</t>
  </si>
  <si>
    <t>Llave</t>
  </si>
  <si>
    <t>Alem</t>
  </si>
  <si>
    <t>Total a pagar:</t>
  </si>
  <si>
    <t>Formulario de compra</t>
  </si>
  <si>
    <t>Medio de entrega</t>
  </si>
  <si>
    <t>Glovo</t>
  </si>
  <si>
    <t>Rappi</t>
  </si>
  <si>
    <t>Taxi</t>
  </si>
  <si>
    <t>Costo:</t>
  </si>
  <si>
    <t>Costo extra:</t>
  </si>
  <si>
    <t>Si</t>
  </si>
  <si>
    <t>No</t>
  </si>
  <si>
    <t>Opción</t>
  </si>
  <si>
    <t>Costo</t>
  </si>
  <si>
    <t>Costo total:</t>
  </si>
  <si>
    <t>si</t>
  </si>
  <si>
    <t>no</t>
  </si>
  <si>
    <t>Costo a abonar: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</si>
</sst>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* #,##0_-;\-* #,##0_-;_-* &quot;-&quot;??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5" tint="-0.249977111117893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b/>
      <sz val="15"/>
      <color theme="8" tint="-0.499984740745262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2" fillId="0" borderId="0" xfId="0" applyFont="1" applyAlignment="1"/>
    <xf numFmtId="0" fontId="0" fillId="0" borderId="0" xfId="0" applyAlignment="1">
      <alignment horizontal="right" vertical="center"/>
    </xf>
    <xf numFmtId="0" fontId="3" fillId="0" borderId="0" xfId="0" applyFont="1"/>
    <xf numFmtId="0" fontId="3" fillId="0" borderId="0" xfId="0" applyFont="1" applyFill="1"/>
    <xf numFmtId="0" fontId="4" fillId="0" borderId="0" xfId="0" applyFont="1" applyAlignment="1">
      <alignment horizontal="center"/>
    </xf>
    <xf numFmtId="164" fontId="0" fillId="0" borderId="0" xfId="1" applyNumberFormat="1" applyFon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7" fillId="0" borderId="0" xfId="0" applyFont="1" applyAlignment="1">
      <alignment horizontal="righ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44" fontId="0" fillId="0" borderId="0" xfId="2" applyFont="1"/>
    <xf numFmtId="0" fontId="9" fillId="0" borderId="0" xfId="0" applyFont="1"/>
    <xf numFmtId="44" fontId="9" fillId="0" borderId="0" xfId="2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4" fontId="0" fillId="0" borderId="0" xfId="2" applyFont="1" applyAlignment="1">
      <alignment horizontal="center" vertical="center"/>
    </xf>
    <xf numFmtId="44" fontId="0" fillId="0" borderId="0" xfId="0" applyNumberFormat="1"/>
    <xf numFmtId="0" fontId="11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4" borderId="0" xfId="0" applyFill="1"/>
    <xf numFmtId="0" fontId="6" fillId="4" borderId="0" xfId="0" applyFont="1" applyFill="1" applyAlignment="1">
      <alignment horizontal="center"/>
    </xf>
    <xf numFmtId="0" fontId="0" fillId="0" borderId="0" xfId="0" applyFill="1"/>
    <xf numFmtId="0" fontId="13" fillId="0" borderId="0" xfId="0" applyFont="1" applyFill="1"/>
    <xf numFmtId="0" fontId="13" fillId="0" borderId="0" xfId="0" applyFont="1"/>
    <xf numFmtId="0" fontId="12" fillId="2" borderId="0" xfId="0" applyFont="1" applyFill="1" applyAlignment="1">
      <alignment horizontal="center"/>
    </xf>
    <xf numFmtId="44" fontId="5" fillId="0" borderId="1" xfId="2" applyFont="1" applyBorder="1" applyAlignment="1">
      <alignment vertical="center"/>
    </xf>
    <xf numFmtId="44" fontId="5" fillId="0" borderId="2" xfId="2" applyFont="1" applyBorder="1" applyAlignment="1">
      <alignment vertical="center"/>
    </xf>
    <xf numFmtId="44" fontId="5" fillId="0" borderId="3" xfId="2" applyFont="1" applyBorder="1" applyAlignment="1">
      <alignment vertical="center"/>
    </xf>
    <xf numFmtId="44" fontId="5" fillId="0" borderId="4" xfId="2" applyFont="1" applyBorder="1" applyAlignment="1">
      <alignment vertical="center"/>
    </xf>
    <xf numFmtId="44" fontId="5" fillId="0" borderId="0" xfId="2" applyFont="1" applyBorder="1" applyAlignment="1">
      <alignment vertical="center"/>
    </xf>
    <xf numFmtId="44" fontId="5" fillId="0" borderId="5" xfId="2" applyFont="1" applyBorder="1" applyAlignment="1">
      <alignment vertical="center"/>
    </xf>
    <xf numFmtId="44" fontId="5" fillId="0" borderId="6" xfId="2" applyFont="1" applyBorder="1" applyAlignment="1">
      <alignment vertical="center"/>
    </xf>
    <xf numFmtId="44" fontId="5" fillId="0" borderId="7" xfId="2" applyFont="1" applyBorder="1" applyAlignment="1">
      <alignment vertical="center"/>
    </xf>
    <xf numFmtId="44" fontId="5" fillId="0" borderId="8" xfId="2" applyFont="1" applyBorder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0" fillId="5" borderId="0" xfId="0" applyFill="1"/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12">
    <dxf>
      <numFmt numFmtId="164" formatCode="_-* #,##0_-;\-* #,##0_-;_-* &quot;-&quot;??_-;_-@_-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color auto="1"/>
      </font>
      <fill>
        <patternFill>
          <bgColor rgb="FFFFFF00"/>
        </patternFill>
      </fill>
    </dxf>
    <dxf>
      <numFmt numFmtId="164" formatCode="_-* #,##0_-;\-* #,##0_-;_-* &quot;-&quot;??_-;_-@_-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font>
        <color auto="1"/>
      </font>
      <fill>
        <patternFill>
          <bgColor rgb="FFFFFF00"/>
        </patternFill>
      </fill>
    </dxf>
    <dxf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H$6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695325</xdr:colOff>
      <xdr:row>5</xdr:row>
      <xdr:rowOff>152402</xdr:rowOff>
    </xdr:from>
    <xdr:to>
      <xdr:col>4</xdr:col>
      <xdr:colOff>847726</xdr:colOff>
      <xdr:row>12</xdr:row>
      <xdr:rowOff>85726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19150" y="1162052"/>
          <a:ext cx="2828926" cy="1438274"/>
        </a:xfrm>
        <a:prstGeom prst="rect">
          <a:avLst/>
        </a:prstGeom>
        <a:noFill/>
        <a:ln w="19050">
          <a:solidFill>
            <a:schemeClr val="bg2">
              <a:lumMod val="25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3</xdr:col>
      <xdr:colOff>47625</xdr:colOff>
      <xdr:row>6</xdr:row>
      <xdr:rowOff>0</xdr:rowOff>
    </xdr:from>
    <xdr:to>
      <xdr:col>3</xdr:col>
      <xdr:colOff>57151</xdr:colOff>
      <xdr:row>11</xdr:row>
      <xdr:rowOff>95250</xdr:rowOff>
    </xdr:to>
    <xdr:cxnSp macro="">
      <xdr:nvCxnSpPr>
        <xdr:cNvPr id="8" name="Conector rec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H="1">
          <a:off x="1952625" y="1200150"/>
          <a:ext cx="9526" cy="1190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295275</xdr:colOff>
      <xdr:row>13</xdr:row>
      <xdr:rowOff>0</xdr:rowOff>
    </xdr:from>
    <xdr:to>
      <xdr:col>4</xdr:col>
      <xdr:colOff>581024</xdr:colOff>
      <xdr:row>14</xdr:row>
      <xdr:rowOff>66674</xdr:rowOff>
    </xdr:to>
    <xdr:pic>
      <xdr:nvPicPr>
        <xdr:cNvPr id="10" name="Gráfico 9" descr="Carro de la compr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095625" y="3162300"/>
          <a:ext cx="285749" cy="2857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599543</xdr:colOff>
      <xdr:row>3</xdr:row>
      <xdr:rowOff>38024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4257143" cy="6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428625</xdr:colOff>
      <xdr:row>3</xdr:row>
      <xdr:rowOff>171450</xdr:rowOff>
    </xdr:from>
    <xdr:to>
      <xdr:col>3</xdr:col>
      <xdr:colOff>714374</xdr:colOff>
      <xdr:row>5</xdr:row>
      <xdr:rowOff>19049</xdr:rowOff>
    </xdr:to>
    <xdr:pic>
      <xdr:nvPicPr>
        <xdr:cNvPr id="3" name="Gráfico 2" descr="Carro de la compra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52725" y="742950"/>
          <a:ext cx="285749" cy="2857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409043</xdr:colOff>
      <xdr:row>3</xdr:row>
      <xdr:rowOff>38024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4257143" cy="6095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485775</xdr:colOff>
      <xdr:row>4</xdr:row>
      <xdr:rowOff>161925</xdr:rowOff>
    </xdr:from>
    <xdr:to>
      <xdr:col>4</xdr:col>
      <xdr:colOff>9524</xdr:colOff>
      <xdr:row>6</xdr:row>
      <xdr:rowOff>9524</xdr:rowOff>
    </xdr:to>
    <xdr:pic>
      <xdr:nvPicPr>
        <xdr:cNvPr id="2" name="Gráfico 1" descr="Carro de la compra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048000" y="923925"/>
          <a:ext cx="285749" cy="2857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170918</xdr:colOff>
      <xdr:row>3</xdr:row>
      <xdr:rowOff>38024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4257143" cy="6095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</xdr:colOff>
      <xdr:row>3</xdr:row>
      <xdr:rowOff>152400</xdr:rowOff>
    </xdr:from>
    <xdr:to>
      <xdr:col>5</xdr:col>
      <xdr:colOff>304799</xdr:colOff>
      <xdr:row>4</xdr:row>
      <xdr:rowOff>247649</xdr:rowOff>
    </xdr:to>
    <xdr:pic>
      <xdr:nvPicPr>
        <xdr:cNvPr id="2" name="Gráfico 1" descr="Carro de la compr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05275" y="342900"/>
          <a:ext cx="285749" cy="2857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170918</xdr:colOff>
      <xdr:row>3</xdr:row>
      <xdr:rowOff>38024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4257143" cy="60952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628650</xdr:colOff>
      <xdr:row>4</xdr:row>
      <xdr:rowOff>171450</xdr:rowOff>
    </xdr:from>
    <xdr:to>
      <xdr:col>5</xdr:col>
      <xdr:colOff>152399</xdr:colOff>
      <xdr:row>6</xdr:row>
      <xdr:rowOff>19049</xdr:rowOff>
    </xdr:to>
    <xdr:pic>
      <xdr:nvPicPr>
        <xdr:cNvPr id="2" name="Gráfico 1" descr="Carro de la compra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52875" y="361950"/>
          <a:ext cx="285749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9</xdr:row>
          <xdr:rowOff>104775</xdr:rowOff>
        </xdr:from>
        <xdr:to>
          <xdr:col>5</xdr:col>
          <xdr:colOff>381000</xdr:colOff>
          <xdr:row>14</xdr:row>
          <xdr:rowOff>238125</xdr:rowOff>
        </xdr:to>
        <xdr:sp macro="" textlink="">
          <xdr:nvSpPr>
            <xdr:cNvPr id="8200" name="Group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Medio de entrega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11</xdr:row>
          <xdr:rowOff>9525</xdr:rowOff>
        </xdr:from>
        <xdr:to>
          <xdr:col>3</xdr:col>
          <xdr:colOff>47625</xdr:colOff>
          <xdr:row>12</xdr:row>
          <xdr:rowOff>38100</xdr:rowOff>
        </xdr:to>
        <xdr:sp macro="" textlink="">
          <xdr:nvSpPr>
            <xdr:cNvPr id="8202" name="Option 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4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11</xdr:row>
          <xdr:rowOff>238125</xdr:rowOff>
        </xdr:from>
        <xdr:to>
          <xdr:col>3</xdr:col>
          <xdr:colOff>76200</xdr:colOff>
          <xdr:row>13</xdr:row>
          <xdr:rowOff>19050</xdr:rowOff>
        </xdr:to>
        <xdr:sp macro="" textlink="">
          <xdr:nvSpPr>
            <xdr:cNvPr id="8207" name="Option 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4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12</xdr:row>
          <xdr:rowOff>238125</xdr:rowOff>
        </xdr:from>
        <xdr:to>
          <xdr:col>3</xdr:col>
          <xdr:colOff>85725</xdr:colOff>
          <xdr:row>14</xdr:row>
          <xdr:rowOff>19050</xdr:rowOff>
        </xdr:to>
        <xdr:sp macro="" textlink="">
          <xdr:nvSpPr>
            <xdr:cNvPr id="8208" name="Option 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4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5</xdr:col>
      <xdr:colOff>170918</xdr:colOff>
      <xdr:row>3</xdr:row>
      <xdr:rowOff>38024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4257143" cy="6095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17</xdr:row>
          <xdr:rowOff>66675</xdr:rowOff>
        </xdr:from>
        <xdr:to>
          <xdr:col>4</xdr:col>
          <xdr:colOff>723900</xdr:colOff>
          <xdr:row>21</xdr:row>
          <xdr:rowOff>28575</xdr:rowOff>
        </xdr:to>
        <xdr:sp macro="" textlink="">
          <xdr:nvSpPr>
            <xdr:cNvPr id="8209" name="Group Box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4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Entrega plus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C3B085-EAEB-40A6-AA52-CD966FD790C8}" name="Tabla1" displayName="Tabla1" ref="H6:I14" totalsRowShown="0" headerRowDxfId="10">
  <autoFilter ref="H6:I14" xr:uid="{8E3D6ED5-4E92-4941-8077-8EA2AF10F6CB}"/>
  <tableColumns count="2">
    <tableColumn id="1" xr3:uid="{F94EC2A9-96DD-4BD3-B7D3-084F65DFEBED}" name="Prodcuto" dataDxfId="9"/>
    <tableColumn id="2" xr3:uid="{F3C43980-9EF9-4C92-A027-18B1FACBF392}" name="Precio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1964C66-D5C9-4078-AB23-134AB106022F}" name="Otra" displayName="Otra" ref="G5:I13" totalsRowShown="0" headerRowDxfId="7">
  <autoFilter ref="G5:I13" xr:uid="{122B73F4-002A-4539-9765-6CD557379E2B}"/>
  <tableColumns count="3">
    <tableColumn id="3" xr3:uid="{5AC12EBE-2126-4A87-964E-CEABA66552E9}" name="Oren" dataDxfId="6"/>
    <tableColumn id="1" xr3:uid="{FF144964-2DBC-4DFB-B8BB-4B0CA9A72920}" name="Prodcuto" dataDxfId="5"/>
    <tableColumn id="2" xr3:uid="{881994E8-6274-4CE2-8F19-9D739FB1A03E}" name="Precio" dataDxfId="4" dataCellStyle="Millares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23192E-ABE7-4BCA-BDAA-A55F96FF57D9}" name="Otra4" displayName="Otra4" ref="H6:J14" totalsRowShown="0">
  <autoFilter ref="H6:J14" xr:uid="{122B73F4-002A-4539-9765-6CD557379E2B}"/>
  <tableColumns count="3">
    <tableColumn id="3" xr3:uid="{F31B63AE-1D02-438F-B7B0-7CC1F1492292}" name="Oren" dataDxfId="2"/>
    <tableColumn id="1" xr3:uid="{2BE5F00A-99F8-4A94-88DF-819C58EBC2D1}" name="Prodcuto" dataDxfId="1"/>
    <tableColumn id="2" xr3:uid="{2F17CF5C-38F7-4663-AA68-07B49F788B07}" name="Precio" dataDxfId="0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DC316-EEEF-4CE4-BFC4-B22495C39B22}">
  <sheetPr codeName="Hoja3"/>
  <dimension ref="A5:I26"/>
  <sheetViews>
    <sheetView showGridLines="0" tabSelected="1" workbookViewId="0">
      <selection activeCell="E7" sqref="E7:E12"/>
    </sheetView>
  </sheetViews>
  <sheetFormatPr baseColWidth="10" defaultRowHeight="15" x14ac:dyDescent="0.25"/>
  <cols>
    <col min="1" max="1" width="1.85546875" customWidth="1"/>
    <col min="2" max="2" width="11.85546875" customWidth="1"/>
    <col min="3" max="3" width="14.85546875" customWidth="1"/>
    <col min="4" max="4" width="13.42578125" customWidth="1"/>
    <col min="5" max="5" width="12.85546875" customWidth="1"/>
    <col min="8" max="9" width="11.42578125" hidden="1" customWidth="1"/>
  </cols>
  <sheetData>
    <row r="5" spans="1:9" ht="19.5" x14ac:dyDescent="0.3">
      <c r="A5" s="1"/>
      <c r="C5" s="27" t="s">
        <v>0</v>
      </c>
      <c r="D5" s="27"/>
      <c r="E5" s="27"/>
    </row>
    <row r="6" spans="1:9" x14ac:dyDescent="0.25">
      <c r="H6" s="22" t="s">
        <v>10</v>
      </c>
      <c r="I6" s="22" t="s">
        <v>11</v>
      </c>
    </row>
    <row r="7" spans="1:9" ht="17.25" customHeight="1" x14ac:dyDescent="0.25">
      <c r="C7" s="2" t="s">
        <v>1</v>
      </c>
      <c r="E7" s="25"/>
      <c r="H7" s="2" t="s">
        <v>1</v>
      </c>
      <c r="I7">
        <v>100</v>
      </c>
    </row>
    <row r="8" spans="1:9" ht="17.25" customHeight="1" x14ac:dyDescent="0.25">
      <c r="C8" s="2" t="s">
        <v>2</v>
      </c>
      <c r="E8" s="25"/>
      <c r="H8" s="2" t="s">
        <v>2</v>
      </c>
      <c r="I8">
        <v>50</v>
      </c>
    </row>
    <row r="9" spans="1:9" ht="17.25" customHeight="1" x14ac:dyDescent="0.25">
      <c r="C9" s="2" t="s">
        <v>3</v>
      </c>
      <c r="E9" s="25"/>
      <c r="H9" s="2" t="s">
        <v>3</v>
      </c>
      <c r="I9">
        <v>30</v>
      </c>
    </row>
    <row r="10" spans="1:9" ht="17.25" customHeight="1" x14ac:dyDescent="0.25">
      <c r="C10" s="2" t="s">
        <v>4</v>
      </c>
      <c r="E10" s="25"/>
      <c r="H10" s="2" t="s">
        <v>4</v>
      </c>
      <c r="I10">
        <v>500</v>
      </c>
    </row>
    <row r="11" spans="1:9" ht="17.25" customHeight="1" x14ac:dyDescent="0.25">
      <c r="C11" s="2" t="s">
        <v>5</v>
      </c>
      <c r="E11" s="25"/>
      <c r="H11" s="2" t="s">
        <v>5</v>
      </c>
      <c r="I11">
        <v>300</v>
      </c>
    </row>
    <row r="12" spans="1:9" ht="17.25" customHeight="1" x14ac:dyDescent="0.25">
      <c r="C12" s="2"/>
      <c r="E12" s="4"/>
      <c r="H12" s="2" t="s">
        <v>6</v>
      </c>
      <c r="I12">
        <v>250</v>
      </c>
    </row>
    <row r="13" spans="1:9" ht="17.25" customHeight="1" x14ac:dyDescent="0.25">
      <c r="C13" s="2"/>
      <c r="E13" s="4"/>
      <c r="H13" s="2" t="s">
        <v>7</v>
      </c>
      <c r="I13">
        <v>500</v>
      </c>
    </row>
    <row r="14" spans="1:9" ht="17.25" customHeight="1" x14ac:dyDescent="0.3">
      <c r="C14" s="27" t="s">
        <v>9</v>
      </c>
      <c r="D14" s="27"/>
      <c r="E14" s="27"/>
      <c r="H14" s="2" t="s">
        <v>8</v>
      </c>
      <c r="I14">
        <v>150</v>
      </c>
    </row>
    <row r="15" spans="1:9" ht="17.25" customHeight="1" x14ac:dyDescent="0.25">
      <c r="C15" s="5" t="s">
        <v>12</v>
      </c>
      <c r="D15" s="5" t="s">
        <v>11</v>
      </c>
    </row>
    <row r="16" spans="1:9" x14ac:dyDescent="0.25">
      <c r="C16" s="20" t="str">
        <f>IF(E7=TRUE,C7," ")</f>
        <v xml:space="preserve"> </v>
      </c>
      <c r="D16" s="21" t="str">
        <f>IFERROR(VLOOKUP(C16,Tabla1[],2,FALSE)," ")</f>
        <v xml:space="preserve"> </v>
      </c>
    </row>
    <row r="17" spans="3:4" ht="18.75" customHeight="1" x14ac:dyDescent="0.25">
      <c r="C17" s="20" t="str">
        <f t="shared" ref="C17:C20" si="0">IF(E8=TRUE,C8," ")</f>
        <v xml:space="preserve"> </v>
      </c>
      <c r="D17" s="21" t="str">
        <f>IFERROR(VLOOKUP(C17,Tabla1[],2,FALSE)," ")</f>
        <v xml:space="preserve"> </v>
      </c>
    </row>
    <row r="18" spans="3:4" x14ac:dyDescent="0.25">
      <c r="C18" s="20" t="str">
        <f t="shared" si="0"/>
        <v xml:space="preserve"> </v>
      </c>
      <c r="D18" s="21" t="str">
        <f>IFERROR(VLOOKUP(C18,Tabla1[],2,FALSE)," ")</f>
        <v xml:space="preserve"> </v>
      </c>
    </row>
    <row r="19" spans="3:4" x14ac:dyDescent="0.25">
      <c r="C19" s="20" t="str">
        <f t="shared" si="0"/>
        <v xml:space="preserve"> </v>
      </c>
      <c r="D19" s="21" t="str">
        <f>IFERROR(VLOOKUP(C19,Tabla1[],2,FALSE)," ")</f>
        <v xml:space="preserve"> </v>
      </c>
    </row>
    <row r="20" spans="3:4" x14ac:dyDescent="0.25">
      <c r="C20" s="20" t="str">
        <f t="shared" si="0"/>
        <v xml:space="preserve"> </v>
      </c>
      <c r="D20" s="21" t="str">
        <f>IFERROR(VLOOKUP(C20,Tabla1[],2,FALSE)," ")</f>
        <v xml:space="preserve"> </v>
      </c>
    </row>
    <row r="21" spans="3:4" x14ac:dyDescent="0.25">
      <c r="C21" s="20"/>
      <c r="D21" s="21"/>
    </row>
    <row r="22" spans="3:4" x14ac:dyDescent="0.25">
      <c r="C22" s="2"/>
    </row>
    <row r="23" spans="3:4" x14ac:dyDescent="0.25">
      <c r="C23" s="3"/>
    </row>
    <row r="24" spans="3:4" x14ac:dyDescent="0.25">
      <c r="C24" s="3"/>
    </row>
    <row r="25" spans="3:4" x14ac:dyDescent="0.25">
      <c r="C25" s="3"/>
    </row>
    <row r="26" spans="3:4" x14ac:dyDescent="0.25">
      <c r="C26" s="3"/>
    </row>
  </sheetData>
  <autoFilter ref="C15:D20" xr:uid="{7112A109-BFF2-4F2C-8350-1F2C4D1596F8}"/>
  <mergeCells count="2">
    <mergeCell ref="C5:E5"/>
    <mergeCell ref="C14:E14"/>
  </mergeCells>
  <conditionalFormatting sqref="C7:C11">
    <cfRule type="expression" dxfId="11" priority="1">
      <formula>$E7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D4A14-D4E3-4772-A856-FAA741EBFCA5}">
  <sheetPr codeName="Hoja4"/>
  <dimension ref="A5:I14"/>
  <sheetViews>
    <sheetView showGridLines="0" workbookViewId="0">
      <selection activeCell="B12" sqref="B12:D14"/>
    </sheetView>
  </sheetViews>
  <sheetFormatPr baseColWidth="10" defaultRowHeight="15" x14ac:dyDescent="0.25"/>
  <cols>
    <col min="1" max="1" width="12" customWidth="1"/>
    <col min="7" max="9" width="0" hidden="1" customWidth="1"/>
  </cols>
  <sheetData>
    <row r="5" spans="1:9" ht="19.5" x14ac:dyDescent="0.3">
      <c r="B5" s="27" t="s">
        <v>22</v>
      </c>
      <c r="C5" s="27"/>
      <c r="D5" s="27"/>
      <c r="E5" s="26">
        <v>2</v>
      </c>
      <c r="G5" s="22" t="s">
        <v>21</v>
      </c>
      <c r="H5" s="22" t="s">
        <v>10</v>
      </c>
      <c r="I5" s="22" t="s">
        <v>11</v>
      </c>
    </row>
    <row r="6" spans="1:9" x14ac:dyDescent="0.25">
      <c r="G6" s="2">
        <v>1</v>
      </c>
      <c r="H6" s="2" t="s">
        <v>13</v>
      </c>
      <c r="I6" s="6">
        <v>10000</v>
      </c>
    </row>
    <row r="7" spans="1:9" x14ac:dyDescent="0.25">
      <c r="A7" s="7"/>
      <c r="G7" s="2">
        <v>2</v>
      </c>
      <c r="H7" s="2" t="s">
        <v>14</v>
      </c>
      <c r="I7" s="6">
        <v>2500</v>
      </c>
    </row>
    <row r="8" spans="1:9" x14ac:dyDescent="0.25">
      <c r="G8" s="2">
        <v>3</v>
      </c>
      <c r="H8" s="2" t="s">
        <v>15</v>
      </c>
      <c r="I8" s="6">
        <v>3500</v>
      </c>
    </row>
    <row r="9" spans="1:9" x14ac:dyDescent="0.25">
      <c r="G9" s="2">
        <v>4</v>
      </c>
      <c r="H9" s="2" t="s">
        <v>16</v>
      </c>
      <c r="I9" s="6">
        <v>150</v>
      </c>
    </row>
    <row r="10" spans="1:9" ht="18" customHeight="1" x14ac:dyDescent="0.25">
      <c r="G10" s="2">
        <v>5</v>
      </c>
      <c r="H10" s="2" t="s">
        <v>17</v>
      </c>
      <c r="I10" s="6">
        <v>200</v>
      </c>
    </row>
    <row r="11" spans="1:9" ht="15.75" thickBot="1" x14ac:dyDescent="0.3">
      <c r="B11" s="19" t="s">
        <v>49</v>
      </c>
      <c r="G11" s="2">
        <v>6</v>
      </c>
      <c r="H11" s="2" t="s">
        <v>18</v>
      </c>
      <c r="I11" s="6">
        <v>12000</v>
      </c>
    </row>
    <row r="12" spans="1:9" x14ac:dyDescent="0.25">
      <c r="B12" s="28">
        <f>IFERROR(VLOOKUP(E5,Otra[],3,FALSE)," ")</f>
        <v>2500</v>
      </c>
      <c r="C12" s="29"/>
      <c r="D12" s="30"/>
      <c r="G12" s="2">
        <v>7</v>
      </c>
      <c r="H12" s="2" t="s">
        <v>19</v>
      </c>
      <c r="I12" s="6">
        <v>120</v>
      </c>
    </row>
    <row r="13" spans="1:9" x14ac:dyDescent="0.25">
      <c r="B13" s="31"/>
      <c r="C13" s="32"/>
      <c r="D13" s="33"/>
      <c r="G13" s="2">
        <v>8</v>
      </c>
      <c r="H13" s="2" t="s">
        <v>20</v>
      </c>
      <c r="I13" s="6">
        <v>150</v>
      </c>
    </row>
    <row r="14" spans="1:9" ht="15.75" thickBot="1" x14ac:dyDescent="0.3">
      <c r="B14" s="34"/>
      <c r="C14" s="35"/>
      <c r="D14" s="36"/>
    </row>
  </sheetData>
  <mergeCells count="2">
    <mergeCell ref="B5:D5"/>
    <mergeCell ref="B12:D14"/>
  </mergeCells>
  <conditionalFormatting sqref="G6:H13">
    <cfRule type="expression" dxfId="8" priority="1">
      <formula>$F5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7B791-2F71-4651-95FD-6FC9AAAB481B}">
  <sheetPr codeName="Hoja5"/>
  <dimension ref="A5:J15"/>
  <sheetViews>
    <sheetView showGridLines="0" workbookViewId="0">
      <selection activeCell="B9" sqref="B9:C9"/>
    </sheetView>
  </sheetViews>
  <sheetFormatPr baseColWidth="10" defaultRowHeight="15" x14ac:dyDescent="0.25"/>
  <cols>
    <col min="1" max="1" width="16.85546875" customWidth="1"/>
    <col min="2" max="2" width="10.140625" customWidth="1"/>
  </cols>
  <sheetData>
    <row r="5" spans="1:10" s="24" customFormat="1" x14ac:dyDescent="0.25"/>
    <row r="6" spans="1:10" ht="19.5" x14ac:dyDescent="0.3">
      <c r="B6" s="27" t="s">
        <v>23</v>
      </c>
      <c r="C6" s="27"/>
      <c r="D6" s="27"/>
      <c r="H6" t="s">
        <v>21</v>
      </c>
      <c r="I6" t="s">
        <v>10</v>
      </c>
      <c r="J6" t="s">
        <v>11</v>
      </c>
    </row>
    <row r="7" spans="1:10" x14ac:dyDescent="0.25">
      <c r="H7" s="2">
        <v>1</v>
      </c>
      <c r="I7" s="2" t="s">
        <v>26</v>
      </c>
      <c r="J7" s="6">
        <v>10000</v>
      </c>
    </row>
    <row r="8" spans="1:10" ht="22.5" customHeight="1" x14ac:dyDescent="0.25">
      <c r="A8" s="9" t="s">
        <v>24</v>
      </c>
      <c r="B8" s="38" t="s">
        <v>28</v>
      </c>
      <c r="C8" s="38"/>
      <c r="H8" s="2">
        <v>2</v>
      </c>
      <c r="I8" s="2" t="s">
        <v>27</v>
      </c>
      <c r="J8" s="6">
        <v>2500</v>
      </c>
    </row>
    <row r="9" spans="1:10" ht="22.5" customHeight="1" x14ac:dyDescent="0.25">
      <c r="A9" s="9" t="s">
        <v>25</v>
      </c>
      <c r="B9" s="37"/>
      <c r="C9" s="37"/>
      <c r="H9" s="2">
        <v>3</v>
      </c>
      <c r="I9" s="2" t="s">
        <v>28</v>
      </c>
      <c r="J9" s="6">
        <v>3500</v>
      </c>
    </row>
    <row r="10" spans="1:10" x14ac:dyDescent="0.25">
      <c r="H10" s="2">
        <v>4</v>
      </c>
      <c r="I10" s="2" t="s">
        <v>29</v>
      </c>
      <c r="J10" s="6">
        <v>150</v>
      </c>
    </row>
    <row r="11" spans="1:10" ht="18" customHeight="1" x14ac:dyDescent="0.25">
      <c r="H11" s="2">
        <v>5</v>
      </c>
      <c r="I11" s="2" t="s">
        <v>30</v>
      </c>
      <c r="J11" s="6">
        <v>200</v>
      </c>
    </row>
    <row r="12" spans="1:10" ht="16.5" thickBot="1" x14ac:dyDescent="0.3">
      <c r="B12" s="10" t="s">
        <v>34</v>
      </c>
      <c r="H12" s="2">
        <v>6</v>
      </c>
      <c r="I12" s="2" t="s">
        <v>31</v>
      </c>
      <c r="J12" s="6">
        <v>12000</v>
      </c>
    </row>
    <row r="13" spans="1:10" x14ac:dyDescent="0.25">
      <c r="B13" s="28">
        <f>VLOOKUP(B8,Otra4[[#All],[Prodcuto]:[Precio]],2,FALSE)*B9</f>
        <v>0</v>
      </c>
      <c r="C13" s="29"/>
      <c r="D13" s="30"/>
      <c r="H13" s="2">
        <v>7</v>
      </c>
      <c r="I13" s="2" t="s">
        <v>32</v>
      </c>
      <c r="J13" s="6">
        <v>120</v>
      </c>
    </row>
    <row r="14" spans="1:10" x14ac:dyDescent="0.25">
      <c r="B14" s="31"/>
      <c r="C14" s="32"/>
      <c r="D14" s="33"/>
      <c r="H14" s="2">
        <v>8</v>
      </c>
      <c r="I14" s="2" t="s">
        <v>33</v>
      </c>
      <c r="J14" s="6">
        <v>150</v>
      </c>
    </row>
    <row r="15" spans="1:10" ht="15.75" thickBot="1" x14ac:dyDescent="0.3">
      <c r="B15" s="34"/>
      <c r="C15" s="35"/>
      <c r="D15" s="36"/>
    </row>
  </sheetData>
  <mergeCells count="4">
    <mergeCell ref="B6:D6"/>
    <mergeCell ref="B13:D15"/>
    <mergeCell ref="B9:C9"/>
    <mergeCell ref="B8:C8"/>
  </mergeCells>
  <conditionalFormatting sqref="H7:I14">
    <cfRule type="expression" dxfId="3" priority="1">
      <formula>$G6</formula>
    </cfRule>
  </conditionalFormatting>
  <dataValidations count="1">
    <dataValidation type="list" allowBlank="1" showInputMessage="1" showErrorMessage="1" sqref="B8:C8" xr:uid="{A66549DD-E97B-45F4-9D7C-9B2053F210FD}">
      <formula1>$I$7:$I$14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15CC9-EF71-4968-AF81-11F5A040A04F}">
  <sheetPr codeName="Hoja6"/>
  <dimension ref="B4:M23"/>
  <sheetViews>
    <sheetView showGridLines="0" workbookViewId="0">
      <selection activeCell="I5" sqref="I5"/>
    </sheetView>
  </sheetViews>
  <sheetFormatPr baseColWidth="10" defaultRowHeight="15" x14ac:dyDescent="0.25"/>
  <cols>
    <col min="1" max="1" width="16.85546875" customWidth="1"/>
    <col min="2" max="2" width="10.140625" customWidth="1"/>
    <col min="8" max="9" width="11.42578125" customWidth="1"/>
    <col min="10" max="11" width="8.28515625" customWidth="1"/>
  </cols>
  <sheetData>
    <row r="4" spans="3:13" x14ac:dyDescent="0.25">
      <c r="J4">
        <v>1</v>
      </c>
      <c r="K4" s="16" t="s">
        <v>37</v>
      </c>
      <c r="M4" s="16"/>
    </row>
    <row r="5" spans="3:13" ht="19.5" x14ac:dyDescent="0.3">
      <c r="C5" s="27" t="s">
        <v>35</v>
      </c>
      <c r="D5" s="27"/>
      <c r="E5" s="27"/>
      <c r="I5" s="40"/>
      <c r="J5">
        <v>2</v>
      </c>
      <c r="K5" s="16" t="s">
        <v>38</v>
      </c>
      <c r="M5" s="16"/>
    </row>
    <row r="6" spans="3:13" x14ac:dyDescent="0.25">
      <c r="J6">
        <v>3</v>
      </c>
      <c r="K6" s="16" t="s">
        <v>39</v>
      </c>
      <c r="M6" s="16"/>
    </row>
    <row r="7" spans="3:13" x14ac:dyDescent="0.25">
      <c r="J7">
        <v>4</v>
      </c>
      <c r="K7" s="16" t="s">
        <v>14</v>
      </c>
      <c r="M7" s="16"/>
    </row>
    <row r="8" spans="3:13" ht="18.75" x14ac:dyDescent="0.3">
      <c r="C8" s="11" t="s">
        <v>36</v>
      </c>
      <c r="F8" s="13" t="s">
        <v>40</v>
      </c>
      <c r="G8" s="14"/>
    </row>
    <row r="9" spans="3:13" x14ac:dyDescent="0.25">
      <c r="G9" s="12"/>
    </row>
    <row r="10" spans="3:13" x14ac:dyDescent="0.25">
      <c r="D10" s="23" t="s">
        <v>44</v>
      </c>
      <c r="E10" s="23" t="s">
        <v>45</v>
      </c>
    </row>
    <row r="11" spans="3:13" ht="19.5" customHeight="1" x14ac:dyDescent="0.25">
      <c r="D11" s="16" t="s">
        <v>37</v>
      </c>
      <c r="E11" s="17">
        <v>100</v>
      </c>
      <c r="I11" s="16"/>
    </row>
    <row r="12" spans="3:13" ht="19.5" customHeight="1" x14ac:dyDescent="0.25">
      <c r="D12" s="16" t="s">
        <v>38</v>
      </c>
      <c r="E12" s="17">
        <v>150</v>
      </c>
      <c r="I12" s="16"/>
    </row>
    <row r="13" spans="3:13" ht="19.5" customHeight="1" x14ac:dyDescent="0.25">
      <c r="D13" s="16" t="s">
        <v>39</v>
      </c>
      <c r="E13" s="17">
        <v>300</v>
      </c>
      <c r="I13" s="16"/>
    </row>
    <row r="14" spans="3:13" ht="19.5" customHeight="1" x14ac:dyDescent="0.25">
      <c r="D14" s="16" t="s">
        <v>14</v>
      </c>
      <c r="E14" s="17">
        <v>80</v>
      </c>
    </row>
    <row r="17" spans="2:7" x14ac:dyDescent="0.25">
      <c r="B17" s="8"/>
      <c r="F17" s="13"/>
      <c r="G17" s="14"/>
    </row>
    <row r="19" spans="2:7" ht="21" customHeight="1" x14ac:dyDescent="0.25">
      <c r="D19" s="15"/>
    </row>
    <row r="20" spans="2:7" ht="21" customHeight="1" x14ac:dyDescent="0.25">
      <c r="D20" s="15"/>
    </row>
    <row r="23" spans="2:7" x14ac:dyDescent="0.25">
      <c r="F23" s="13"/>
      <c r="G23" s="14"/>
    </row>
  </sheetData>
  <mergeCells count="1">
    <mergeCell ref="C5:E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CACD4-BB5A-4A14-B562-BAC6A08D1A7A}">
  <sheetPr codeName="cuadroo"/>
  <dimension ref="B5:O24"/>
  <sheetViews>
    <sheetView showGridLines="0" topLeftCell="A4" workbookViewId="0">
      <selection activeCell="M21" sqref="M21"/>
    </sheetView>
  </sheetViews>
  <sheetFormatPr baseColWidth="10" defaultRowHeight="15" x14ac:dyDescent="0.25"/>
  <cols>
    <col min="1" max="1" width="16.85546875" customWidth="1"/>
    <col min="2" max="2" width="10.140625" customWidth="1"/>
    <col min="8" max="10" width="11.42578125" customWidth="1"/>
    <col min="11" max="11" width="12.42578125" customWidth="1"/>
    <col min="13" max="13" width="13.140625" customWidth="1"/>
    <col min="14" max="14" width="5" customWidth="1"/>
    <col min="15" max="15" width="4.5703125" customWidth="1"/>
  </cols>
  <sheetData>
    <row r="5" spans="3:15" x14ac:dyDescent="0.25">
      <c r="J5">
        <v>1</v>
      </c>
      <c r="K5" s="16" t="s">
        <v>37</v>
      </c>
      <c r="M5">
        <v>1</v>
      </c>
      <c r="N5" t="s">
        <v>47</v>
      </c>
      <c r="O5">
        <v>50</v>
      </c>
    </row>
    <row r="6" spans="3:15" ht="19.5" x14ac:dyDescent="0.3">
      <c r="C6" s="27" t="s">
        <v>35</v>
      </c>
      <c r="D6" s="27"/>
      <c r="E6" s="27"/>
      <c r="H6">
        <v>3</v>
      </c>
      <c r="I6" t="str">
        <f>IFERROR(VLOOKUP(H6,J5:K8,2,0)," ")</f>
        <v>Taxi</v>
      </c>
      <c r="J6">
        <v>2</v>
      </c>
      <c r="K6" s="16" t="s">
        <v>38</v>
      </c>
      <c r="M6">
        <v>2</v>
      </c>
      <c r="N6" t="s">
        <v>48</v>
      </c>
      <c r="O6">
        <v>0</v>
      </c>
    </row>
    <row r="7" spans="3:15" x14ac:dyDescent="0.25">
      <c r="J7">
        <v>3</v>
      </c>
      <c r="K7" s="16" t="s">
        <v>39</v>
      </c>
    </row>
    <row r="8" spans="3:15" x14ac:dyDescent="0.25">
      <c r="K8" s="16"/>
    </row>
    <row r="9" spans="3:15" ht="18.75" x14ac:dyDescent="0.3">
      <c r="C9" s="11"/>
      <c r="F9" s="13" t="s">
        <v>40</v>
      </c>
      <c r="G9" s="14"/>
    </row>
    <row r="10" spans="3:15" x14ac:dyDescent="0.25">
      <c r="G10" s="12"/>
    </row>
    <row r="11" spans="3:15" x14ac:dyDescent="0.25">
      <c r="D11" s="23" t="s">
        <v>44</v>
      </c>
      <c r="E11" s="23" t="s">
        <v>45</v>
      </c>
    </row>
    <row r="12" spans="3:15" ht="19.5" customHeight="1" x14ac:dyDescent="0.25">
      <c r="D12" s="16" t="s">
        <v>37</v>
      </c>
      <c r="E12" s="17">
        <v>100</v>
      </c>
      <c r="I12" s="16"/>
      <c r="M12" s="39"/>
      <c r="N12" s="39"/>
    </row>
    <row r="13" spans="3:15" ht="19.5" customHeight="1" x14ac:dyDescent="0.25">
      <c r="D13" s="16" t="s">
        <v>38</v>
      </c>
      <c r="E13" s="17">
        <v>150</v>
      </c>
      <c r="I13" s="13" t="s">
        <v>46</v>
      </c>
      <c r="J13" s="18"/>
      <c r="M13" s="39"/>
      <c r="N13" s="39"/>
    </row>
    <row r="14" spans="3:15" ht="19.5" customHeight="1" x14ac:dyDescent="0.25">
      <c r="D14" s="16" t="s">
        <v>39</v>
      </c>
      <c r="E14" s="17">
        <v>300</v>
      </c>
      <c r="I14" s="16"/>
    </row>
    <row r="15" spans="3:15" ht="19.5" customHeight="1" x14ac:dyDescent="0.25">
      <c r="D15" s="16"/>
      <c r="E15" s="17"/>
    </row>
    <row r="18" spans="2:7" ht="18.75" x14ac:dyDescent="0.3">
      <c r="B18" s="11"/>
      <c r="F18" s="13" t="s">
        <v>41</v>
      </c>
      <c r="G18" s="14"/>
    </row>
    <row r="19" spans="2:7" x14ac:dyDescent="0.25">
      <c r="E19" t="s">
        <v>42</v>
      </c>
    </row>
    <row r="20" spans="2:7" ht="21" customHeight="1" x14ac:dyDescent="0.25">
      <c r="D20" s="15"/>
      <c r="E20" t="s">
        <v>43</v>
      </c>
    </row>
    <row r="21" spans="2:7" ht="21" customHeight="1" x14ac:dyDescent="0.25">
      <c r="D21" s="15"/>
    </row>
    <row r="24" spans="2:7" x14ac:dyDescent="0.25">
      <c r="F24" s="13"/>
      <c r="G24" s="14"/>
    </row>
  </sheetData>
  <mergeCells count="2">
    <mergeCell ref="C6:E6"/>
    <mergeCell ref="M12:N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4" name="Group Box 8">
              <controlPr defaultSize="0" autoFill="0" autoPict="0">
                <anchor moveWithCells="1">
                  <from>
                    <xdr:col>1</xdr:col>
                    <xdr:colOff>266700</xdr:colOff>
                    <xdr:row>9</xdr:row>
                    <xdr:rowOff>104775</xdr:rowOff>
                  </from>
                  <to>
                    <xdr:col>5</xdr:col>
                    <xdr:colOff>381000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5" name="Option Button 10">
              <controlPr defaultSize="0" autoFill="0" autoLine="0" autoPict="0">
                <anchor moveWithCells="1">
                  <from>
                    <xdr:col>2</xdr:col>
                    <xdr:colOff>533400</xdr:colOff>
                    <xdr:row>11</xdr:row>
                    <xdr:rowOff>9525</xdr:rowOff>
                  </from>
                  <to>
                    <xdr:col>3</xdr:col>
                    <xdr:colOff>47625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6" name="Option Button 15">
              <controlPr defaultSize="0" autoFill="0" autoLine="0" autoPict="0">
                <anchor moveWithCells="1">
                  <from>
                    <xdr:col>2</xdr:col>
                    <xdr:colOff>561975</xdr:colOff>
                    <xdr:row>11</xdr:row>
                    <xdr:rowOff>238125</xdr:rowOff>
                  </from>
                  <to>
                    <xdr:col>3</xdr:col>
                    <xdr:colOff>76200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7" name="Option Button 16">
              <controlPr defaultSize="0" autoFill="0" autoLine="0" autoPict="0">
                <anchor moveWithCells="1">
                  <from>
                    <xdr:col>2</xdr:col>
                    <xdr:colOff>571500</xdr:colOff>
                    <xdr:row>12</xdr:row>
                    <xdr:rowOff>238125</xdr:rowOff>
                  </from>
                  <to>
                    <xdr:col>3</xdr:col>
                    <xdr:colOff>85725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8" name="Group Box 17">
              <controlPr defaultSize="0" autoFill="0" autoPict="0">
                <anchor moveWithCells="1">
                  <from>
                    <xdr:col>1</xdr:col>
                    <xdr:colOff>371475</xdr:colOff>
                    <xdr:row>17</xdr:row>
                    <xdr:rowOff>66675</xdr:rowOff>
                  </from>
                  <to>
                    <xdr:col>4</xdr:col>
                    <xdr:colOff>723900</xdr:colOff>
                    <xdr:row>21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Casilla de verif</vt:lpstr>
      <vt:lpstr>Cuadro combinado</vt:lpstr>
      <vt:lpstr>Control de numero</vt:lpstr>
      <vt:lpstr>Opciones simple</vt:lpstr>
      <vt:lpstr>opciones agrupadas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gandia</dc:creator>
  <cp:lastModifiedBy>gerardo gandia</cp:lastModifiedBy>
  <dcterms:created xsi:type="dcterms:W3CDTF">2020-04-24T01:35:53Z</dcterms:created>
  <dcterms:modified xsi:type="dcterms:W3CDTF">2020-04-29T19:55:38Z</dcterms:modified>
</cp:coreProperties>
</file>